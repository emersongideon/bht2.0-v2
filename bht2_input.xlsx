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merson/Desktop/Emerson Coding Experiments/bht2.0/"/>
    </mc:Choice>
  </mc:AlternateContent>
  <xr:revisionPtr revIDLastSave="0" documentId="13_ncr:1_{D66AC1A2-C9AC-0A4A-A0E2-3C47B541C05E}" xr6:coauthVersionLast="47" xr6:coauthVersionMax="47" xr10:uidLastSave="{00000000-0000-0000-0000-000000000000}"/>
  <bookViews>
    <workbookView xWindow="0" yWindow="660" windowWidth="30240" windowHeight="18980" firstSheet="1" activeTab="3" xr2:uid="{00000000-000D-0000-FFFF-FFFF00000000}"/>
  </bookViews>
  <sheets>
    <sheet name="REF_category_brands" sheetId="3" r:id="rId1"/>
    <sheet name="REF_dimensions" sheetId="4" r:id="rId2"/>
    <sheet name="REF_submetrics" sheetId="5" r:id="rId3"/>
    <sheet name="ICONIC_scores" sheetId="7" r:id="rId4"/>
    <sheet name="ICONIC_dimension_scores" sheetId="8" r:id="rId5"/>
    <sheet name="ICONIC_sub_metric_scores" sheetId="9" r:id="rId6"/>
    <sheet name="ICONIC_alerts" sheetId="10" r:id="rId7"/>
    <sheet name="ICONIC_news_feed" sheetId="11" r:id="rId8"/>
    <sheet name="ICONIC_social_feed" sheetId="12" r:id="rId9"/>
    <sheet name="I1_domain_sources" sheetId="14" r:id="rId10"/>
    <sheet name="I1_value_associations" sheetId="16" r:id="rId11"/>
    <sheet name="I1_audience_perception" sheetId="15" r:id="rId12"/>
    <sheet name="C1_attention_metrics" sheetId="17" r:id="rId13"/>
    <sheet name="O_sentiment" sheetId="18" r:id="rId14"/>
    <sheet name="O_recommendations" sheetId="24" r:id="rId15"/>
    <sheet name="N_alignment" sheetId="19" r:id="rId16"/>
    <sheet name="N_alignment_overall" sheetId="26" r:id="rId17"/>
    <sheet name="I2_attribute_scores" sheetId="20" r:id="rId18"/>
    <sheet name="C2_worth_it_share" sheetId="22" r:id="rId19"/>
    <sheet name="C2_value_drivers" sheetId="23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9" l="1"/>
  <c r="I105" i="19" s="1"/>
  <c r="H62" i="19"/>
  <c r="I62" i="19" s="1"/>
  <c r="H61" i="19"/>
  <c r="I61" i="19" s="1"/>
  <c r="H60" i="19"/>
  <c r="I60" i="19" s="1"/>
  <c r="H59" i="19"/>
  <c r="I59" i="19" s="1"/>
  <c r="H58" i="19"/>
  <c r="I58" i="19" s="1"/>
  <c r="H57" i="19"/>
  <c r="I57" i="19" s="1"/>
  <c r="H56" i="19"/>
  <c r="I56" i="19" s="1"/>
  <c r="H55" i="19"/>
  <c r="I55" i="19" s="1"/>
  <c r="H54" i="19"/>
  <c r="I54" i="19" s="1"/>
  <c r="H53" i="19"/>
  <c r="I53" i="19" s="1"/>
  <c r="H52" i="19"/>
  <c r="I52" i="19" s="1"/>
  <c r="H51" i="19"/>
  <c r="I51" i="19" s="1"/>
  <c r="H50" i="19"/>
  <c r="I50" i="19" s="1"/>
  <c r="H49" i="19"/>
  <c r="I49" i="19" s="1"/>
  <c r="H48" i="19"/>
  <c r="I48" i="19" s="1"/>
  <c r="H47" i="19"/>
  <c r="I47" i="19" s="1"/>
  <c r="H46" i="19"/>
  <c r="I46" i="19" s="1"/>
  <c r="H45" i="19"/>
  <c r="I45" i="19" s="1"/>
  <c r="H44" i="19"/>
  <c r="I44" i="19" s="1"/>
  <c r="H43" i="19"/>
  <c r="I43" i="19" s="1"/>
  <c r="H42" i="19"/>
  <c r="I42" i="19" s="1"/>
  <c r="H41" i="19"/>
  <c r="I41" i="19" s="1"/>
  <c r="H40" i="19"/>
  <c r="I40" i="19" s="1"/>
  <c r="H39" i="19"/>
  <c r="I39" i="19" s="1"/>
  <c r="H38" i="19"/>
  <c r="I38" i="19" s="1"/>
  <c r="H37" i="19"/>
  <c r="I37" i="19" s="1"/>
  <c r="H36" i="19"/>
  <c r="I36" i="19" s="1"/>
  <c r="H35" i="19"/>
  <c r="I35" i="19" s="1"/>
  <c r="H34" i="19"/>
  <c r="I34" i="19" s="1"/>
  <c r="H33" i="19"/>
  <c r="I33" i="19" s="1"/>
  <c r="H32" i="19"/>
  <c r="I32" i="19" s="1"/>
  <c r="H31" i="19"/>
  <c r="I31" i="19" s="1"/>
  <c r="H30" i="19"/>
  <c r="I30" i="19" s="1"/>
  <c r="H29" i="19"/>
  <c r="I29" i="19" s="1"/>
  <c r="H28" i="19"/>
  <c r="I28" i="19" s="1"/>
  <c r="H27" i="19"/>
  <c r="I27" i="19" s="1"/>
  <c r="H26" i="19"/>
  <c r="I26" i="19" s="1"/>
  <c r="H25" i="19"/>
  <c r="I25" i="19" s="1"/>
  <c r="H24" i="19"/>
  <c r="I24" i="19" s="1"/>
  <c r="H23" i="19"/>
  <c r="I23" i="19" s="1"/>
  <c r="H22" i="19"/>
  <c r="I22" i="19" s="1"/>
  <c r="H21" i="19"/>
  <c r="I21" i="19" s="1"/>
  <c r="H20" i="19"/>
  <c r="I20" i="19" s="1"/>
  <c r="H19" i="19"/>
  <c r="I19" i="19" s="1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H11" i="19"/>
  <c r="I11" i="19" s="1"/>
  <c r="H10" i="19"/>
  <c r="I10" i="19" s="1"/>
  <c r="H9" i="19"/>
  <c r="I9" i="19" s="1"/>
  <c r="H8" i="19"/>
  <c r="I8" i="19" s="1"/>
  <c r="H7" i="19"/>
  <c r="I7" i="19" s="1"/>
  <c r="H6" i="19"/>
  <c r="I6" i="19" s="1"/>
  <c r="H5" i="19"/>
  <c r="I5" i="19" s="1"/>
  <c r="H4" i="19"/>
  <c r="I4" i="19" s="1"/>
  <c r="H3" i="19"/>
  <c r="I3" i="19" s="1"/>
  <c r="H2" i="19"/>
  <c r="I2" i="19" s="1"/>
  <c r="G176" i="19"/>
  <c r="H176" i="19" s="1"/>
  <c r="I176" i="19" s="1"/>
  <c r="G175" i="19"/>
  <c r="H175" i="19" s="1"/>
  <c r="I175" i="19" s="1"/>
  <c r="G174" i="19"/>
  <c r="H174" i="19" s="1"/>
  <c r="I174" i="19" s="1"/>
  <c r="G173" i="19"/>
  <c r="H173" i="19" s="1"/>
  <c r="I173" i="19" s="1"/>
  <c r="G172" i="19"/>
  <c r="H172" i="19" s="1"/>
  <c r="I172" i="19" s="1"/>
  <c r="G171" i="19"/>
  <c r="H171" i="19" s="1"/>
  <c r="I171" i="19" s="1"/>
  <c r="G170" i="19"/>
  <c r="H170" i="19" s="1"/>
  <c r="I170" i="19" s="1"/>
  <c r="G169" i="19"/>
  <c r="H169" i="19" s="1"/>
  <c r="I169" i="19" s="1"/>
  <c r="G168" i="19"/>
  <c r="H168" i="19" s="1"/>
  <c r="I168" i="19" s="1"/>
  <c r="G167" i="19"/>
  <c r="H167" i="19" s="1"/>
  <c r="I167" i="19" s="1"/>
  <c r="G166" i="19"/>
  <c r="H166" i="19" s="1"/>
  <c r="I166" i="19" s="1"/>
  <c r="G165" i="19"/>
  <c r="H165" i="19" s="1"/>
  <c r="I165" i="19" s="1"/>
  <c r="G164" i="19"/>
  <c r="H164" i="19" s="1"/>
  <c r="I164" i="19" s="1"/>
  <c r="G163" i="19"/>
  <c r="H163" i="19" s="1"/>
  <c r="I163" i="19" s="1"/>
  <c r="G162" i="19"/>
  <c r="H162" i="19" s="1"/>
  <c r="I162" i="19" s="1"/>
  <c r="G161" i="19"/>
  <c r="H161" i="19" s="1"/>
  <c r="I161" i="19" s="1"/>
  <c r="G160" i="19"/>
  <c r="H160" i="19" s="1"/>
  <c r="I160" i="19" s="1"/>
  <c r="G159" i="19"/>
  <c r="H159" i="19" s="1"/>
  <c r="I159" i="19" s="1"/>
  <c r="G158" i="19"/>
  <c r="H158" i="19" s="1"/>
  <c r="I158" i="19" s="1"/>
  <c r="G157" i="19"/>
  <c r="H157" i="19" s="1"/>
  <c r="I157" i="19" s="1"/>
  <c r="G156" i="19"/>
  <c r="H156" i="19" s="1"/>
  <c r="I156" i="19" s="1"/>
  <c r="G155" i="19"/>
  <c r="H155" i="19" s="1"/>
  <c r="I155" i="19" s="1"/>
  <c r="G154" i="19"/>
  <c r="H154" i="19" s="1"/>
  <c r="I154" i="19" s="1"/>
  <c r="G153" i="19"/>
  <c r="H153" i="19" s="1"/>
  <c r="I153" i="19" s="1"/>
  <c r="G152" i="19"/>
  <c r="H152" i="19" s="1"/>
  <c r="I152" i="19" s="1"/>
  <c r="G151" i="19"/>
  <c r="H151" i="19" s="1"/>
  <c r="I151" i="19" s="1"/>
  <c r="G150" i="19"/>
  <c r="H150" i="19" s="1"/>
  <c r="I150" i="19" s="1"/>
  <c r="G149" i="19"/>
  <c r="H149" i="19" s="1"/>
  <c r="I149" i="19" s="1"/>
  <c r="G148" i="19"/>
  <c r="H148" i="19" s="1"/>
  <c r="I148" i="19" s="1"/>
  <c r="G147" i="19"/>
  <c r="H147" i="19" s="1"/>
  <c r="I147" i="19" s="1"/>
  <c r="G146" i="19"/>
  <c r="H146" i="19" s="1"/>
  <c r="I146" i="19" s="1"/>
  <c r="G145" i="19"/>
  <c r="H145" i="19" s="1"/>
  <c r="I145" i="19" s="1"/>
  <c r="G144" i="19"/>
  <c r="H144" i="19" s="1"/>
  <c r="I144" i="19" s="1"/>
  <c r="G143" i="19"/>
  <c r="H143" i="19" s="1"/>
  <c r="I143" i="19" s="1"/>
  <c r="G142" i="19"/>
  <c r="H142" i="19" s="1"/>
  <c r="I142" i="19" s="1"/>
  <c r="G141" i="19"/>
  <c r="H141" i="19" s="1"/>
  <c r="I141" i="19" s="1"/>
  <c r="G140" i="19"/>
  <c r="H140" i="19" s="1"/>
  <c r="I140" i="19" s="1"/>
  <c r="G139" i="19"/>
  <c r="H139" i="19" s="1"/>
  <c r="I139" i="19" s="1"/>
  <c r="G138" i="19"/>
  <c r="H138" i="19" s="1"/>
  <c r="I138" i="19" s="1"/>
  <c r="G137" i="19"/>
  <c r="H137" i="19" s="1"/>
  <c r="I137" i="19" s="1"/>
  <c r="G136" i="19"/>
  <c r="H136" i="19" s="1"/>
  <c r="I136" i="19" s="1"/>
  <c r="G135" i="19"/>
  <c r="H135" i="19" s="1"/>
  <c r="I135" i="19" s="1"/>
  <c r="G134" i="19"/>
  <c r="H134" i="19" s="1"/>
  <c r="I134" i="19" s="1"/>
  <c r="G133" i="19"/>
  <c r="H133" i="19" s="1"/>
  <c r="I133" i="19" s="1"/>
  <c r="G132" i="19"/>
  <c r="H132" i="19" s="1"/>
  <c r="I132" i="19" s="1"/>
  <c r="G131" i="19"/>
  <c r="H131" i="19" s="1"/>
  <c r="I131" i="19" s="1"/>
  <c r="G130" i="19"/>
  <c r="H130" i="19" s="1"/>
  <c r="I130" i="19" s="1"/>
  <c r="G129" i="19"/>
  <c r="H129" i="19" s="1"/>
  <c r="I129" i="19" s="1"/>
  <c r="G128" i="19"/>
  <c r="H128" i="19" s="1"/>
  <c r="I128" i="19" s="1"/>
  <c r="G127" i="19"/>
  <c r="H127" i="19" s="1"/>
  <c r="I127" i="19" s="1"/>
  <c r="G126" i="19"/>
  <c r="H126" i="19" s="1"/>
  <c r="I126" i="19" s="1"/>
  <c r="G125" i="19"/>
  <c r="H125" i="19" s="1"/>
  <c r="I125" i="19" s="1"/>
  <c r="G124" i="19"/>
  <c r="H124" i="19" s="1"/>
  <c r="I124" i="19" s="1"/>
  <c r="G123" i="19"/>
  <c r="H123" i="19" s="1"/>
  <c r="I123" i="19" s="1"/>
  <c r="G122" i="19"/>
  <c r="H122" i="19" s="1"/>
  <c r="I122" i="19" s="1"/>
  <c r="G121" i="19"/>
  <c r="H121" i="19" s="1"/>
  <c r="I121" i="19" s="1"/>
  <c r="G120" i="19"/>
  <c r="H120" i="19" s="1"/>
  <c r="I120" i="19" s="1"/>
  <c r="G119" i="19"/>
  <c r="H119" i="19" s="1"/>
  <c r="I119" i="19" s="1"/>
  <c r="G118" i="19"/>
  <c r="H118" i="19" s="1"/>
  <c r="I118" i="19" s="1"/>
  <c r="G117" i="19"/>
  <c r="H117" i="19" s="1"/>
  <c r="I117" i="19" s="1"/>
  <c r="G116" i="19"/>
  <c r="H116" i="19" s="1"/>
  <c r="I116" i="19" s="1"/>
  <c r="G115" i="19"/>
  <c r="H115" i="19" s="1"/>
  <c r="I115" i="19" s="1"/>
  <c r="G114" i="19"/>
  <c r="H114" i="19" s="1"/>
  <c r="I114" i="19" s="1"/>
  <c r="G113" i="19"/>
  <c r="H113" i="19" s="1"/>
  <c r="I113" i="19" s="1"/>
  <c r="G112" i="19"/>
  <c r="H112" i="19" s="1"/>
  <c r="I112" i="19" s="1"/>
  <c r="G111" i="19"/>
  <c r="H111" i="19" s="1"/>
  <c r="I111" i="19" s="1"/>
  <c r="G110" i="19"/>
  <c r="H110" i="19" s="1"/>
  <c r="I110" i="19" s="1"/>
  <c r="G109" i="19"/>
  <c r="H109" i="19" s="1"/>
  <c r="I109" i="19" s="1"/>
  <c r="G108" i="19"/>
  <c r="H108" i="19" s="1"/>
  <c r="I108" i="19" s="1"/>
  <c r="G107" i="19"/>
  <c r="H107" i="19" s="1"/>
  <c r="I107" i="19" s="1"/>
  <c r="G106" i="19"/>
  <c r="H106" i="19" s="1"/>
  <c r="I106" i="19" s="1"/>
  <c r="G105" i="19"/>
  <c r="G104" i="19"/>
  <c r="H104" i="19" s="1"/>
  <c r="I104" i="19" s="1"/>
  <c r="G103" i="19"/>
  <c r="H103" i="19" s="1"/>
  <c r="I103" i="19" s="1"/>
  <c r="G102" i="19"/>
  <c r="H102" i="19" s="1"/>
  <c r="I102" i="19" s="1"/>
  <c r="G101" i="19"/>
  <c r="H101" i="19" s="1"/>
  <c r="I101" i="19" s="1"/>
  <c r="G100" i="19"/>
  <c r="H100" i="19" s="1"/>
  <c r="I100" i="19" s="1"/>
  <c r="G99" i="19"/>
  <c r="H99" i="19" s="1"/>
  <c r="I99" i="19" s="1"/>
  <c r="G98" i="19"/>
  <c r="H98" i="19" s="1"/>
  <c r="I98" i="19" s="1"/>
  <c r="G97" i="19"/>
  <c r="H97" i="19" s="1"/>
  <c r="I97" i="19" s="1"/>
  <c r="G96" i="19"/>
  <c r="H96" i="19" s="1"/>
  <c r="I96" i="19" s="1"/>
  <c r="G95" i="19"/>
  <c r="H95" i="19" s="1"/>
  <c r="I95" i="19" s="1"/>
  <c r="G94" i="19"/>
  <c r="H94" i="19" s="1"/>
  <c r="I94" i="19" s="1"/>
  <c r="G93" i="19"/>
  <c r="H93" i="19" s="1"/>
  <c r="I93" i="19" s="1"/>
  <c r="G92" i="19"/>
  <c r="H92" i="19" s="1"/>
  <c r="I92" i="19" s="1"/>
  <c r="G91" i="19"/>
  <c r="H91" i="19" s="1"/>
  <c r="I91" i="19" s="1"/>
  <c r="G90" i="19"/>
  <c r="H90" i="19" s="1"/>
  <c r="I90" i="19" s="1"/>
  <c r="G89" i="19"/>
  <c r="H89" i="19" s="1"/>
  <c r="I89" i="19" s="1"/>
  <c r="G88" i="19"/>
  <c r="H88" i="19" s="1"/>
  <c r="I88" i="19" s="1"/>
  <c r="G87" i="19"/>
  <c r="H87" i="19" s="1"/>
  <c r="I87" i="19" s="1"/>
  <c r="G86" i="19"/>
  <c r="H86" i="19" s="1"/>
  <c r="I86" i="19" s="1"/>
  <c r="G85" i="19"/>
  <c r="H85" i="19" s="1"/>
  <c r="I85" i="19" s="1"/>
  <c r="G84" i="19"/>
  <c r="H84" i="19" s="1"/>
  <c r="I84" i="19" s="1"/>
  <c r="G83" i="19"/>
  <c r="H83" i="19" s="1"/>
  <c r="I83" i="19" s="1"/>
  <c r="G82" i="19"/>
  <c r="H82" i="19" s="1"/>
  <c r="I82" i="19" s="1"/>
  <c r="G81" i="19"/>
  <c r="H81" i="19" s="1"/>
  <c r="I81" i="19" s="1"/>
  <c r="G80" i="19"/>
  <c r="H80" i="19" s="1"/>
  <c r="I80" i="19" s="1"/>
  <c r="G79" i="19"/>
  <c r="H79" i="19" s="1"/>
  <c r="I79" i="19" s="1"/>
  <c r="G78" i="19"/>
  <c r="H78" i="19" s="1"/>
  <c r="I78" i="19" s="1"/>
  <c r="G77" i="19"/>
  <c r="H77" i="19" s="1"/>
  <c r="I77" i="19" s="1"/>
  <c r="G76" i="19"/>
  <c r="H76" i="19" s="1"/>
  <c r="I76" i="19" s="1"/>
  <c r="G75" i="19"/>
  <c r="H75" i="19" s="1"/>
  <c r="I75" i="19" s="1"/>
  <c r="G74" i="19"/>
  <c r="H74" i="19" s="1"/>
  <c r="I74" i="19" s="1"/>
  <c r="G73" i="19"/>
  <c r="H73" i="19" s="1"/>
  <c r="I73" i="19" s="1"/>
  <c r="G72" i="19"/>
  <c r="H72" i="19" s="1"/>
  <c r="I72" i="19" s="1"/>
  <c r="G71" i="19"/>
  <c r="H71" i="19" s="1"/>
  <c r="I71" i="19" s="1"/>
  <c r="G70" i="19"/>
  <c r="H70" i="19" s="1"/>
  <c r="I70" i="19" s="1"/>
  <c r="G69" i="19"/>
  <c r="H69" i="19" s="1"/>
  <c r="I69" i="19" s="1"/>
  <c r="G68" i="19"/>
  <c r="H68" i="19" s="1"/>
  <c r="I68" i="19" s="1"/>
  <c r="G67" i="19"/>
  <c r="H67" i="19" s="1"/>
  <c r="I67" i="19" s="1"/>
  <c r="G66" i="19"/>
  <c r="H66" i="19" s="1"/>
  <c r="I66" i="19" s="1"/>
  <c r="G65" i="19"/>
  <c r="H65" i="19" s="1"/>
  <c r="I65" i="19" s="1"/>
  <c r="G64" i="19"/>
  <c r="H64" i="19" s="1"/>
  <c r="I64" i="19" s="1"/>
  <c r="G63" i="19"/>
  <c r="H63" i="19" s="1"/>
  <c r="I63" i="19" s="1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" i="19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" i="17"/>
</calcChain>
</file>

<file path=xl/sharedStrings.xml><?xml version="1.0" encoding="utf-8"?>
<sst xmlns="http://schemas.openxmlformats.org/spreadsheetml/2006/main" count="8933" uniqueCount="319">
  <si>
    <t>Rhode</t>
  </si>
  <si>
    <t>Summer Fridays</t>
  </si>
  <si>
    <t>Glossier</t>
  </si>
  <si>
    <t>Clinique</t>
  </si>
  <si>
    <t>Laneige</t>
  </si>
  <si>
    <t>Nike</t>
  </si>
  <si>
    <t>Adidas</t>
  </si>
  <si>
    <t>Zara</t>
  </si>
  <si>
    <t>H&amp;M</t>
  </si>
  <si>
    <t>Uniqlo</t>
  </si>
  <si>
    <t>Dove</t>
  </si>
  <si>
    <t>Nivea</t>
  </si>
  <si>
    <t>CeraVe</t>
  </si>
  <si>
    <t>Cetaphil</t>
  </si>
  <si>
    <t>The Ordinary</t>
  </si>
  <si>
    <t>Beauty</t>
  </si>
  <si>
    <t>Fashion</t>
  </si>
  <si>
    <t>Personal Care</t>
  </si>
  <si>
    <t>I1</t>
  </si>
  <si>
    <t>I</t>
  </si>
  <si>
    <t>Imprinted in AI</t>
  </si>
  <si>
    <t>How deeply the brand is encoded in AI minds</t>
  </si>
  <si>
    <t>C1</t>
  </si>
  <si>
    <t>C</t>
  </si>
  <si>
    <t>Capturing Attention</t>
  </si>
  <si>
    <t>Cultural energy and momentum right now</t>
  </si>
  <si>
    <t>O</t>
  </si>
  <si>
    <t>Openly Adored</t>
  </si>
  <si>
    <t>What people and machines say and feel</t>
  </si>
  <si>
    <t>N</t>
  </si>
  <si>
    <t>Never Lost in Translation</t>
  </si>
  <si>
    <t>How clearly the brand story lands</t>
  </si>
  <si>
    <t>I2</t>
  </si>
  <si>
    <t>Ingrained in Culture</t>
  </si>
  <si>
    <t>Values and symbolic meaning in culture</t>
  </si>
  <si>
    <t>C2</t>
  </si>
  <si>
    <t>Chosen for a Reason</t>
  </si>
  <si>
    <t>Perceived worth, quality, and value</t>
  </si>
  <si>
    <t>LLM Consistency</t>
  </si>
  <si>
    <t>LLM</t>
  </si>
  <si>
    <t>LLM Distinctiveness</t>
  </si>
  <si>
    <t>Search</t>
  </si>
  <si>
    <t>Social</t>
  </si>
  <si>
    <t>Favorability</t>
  </si>
  <si>
    <t>Consistency</t>
  </si>
  <si>
    <t>Coherence</t>
  </si>
  <si>
    <t>Alignment</t>
  </si>
  <si>
    <t>Social Performance</t>
  </si>
  <si>
    <t>Price Perception</t>
  </si>
  <si>
    <t>Quality Perception</t>
  </si>
  <si>
    <t>Clean / Ingredients</t>
  </si>
  <si>
    <t>Aesthetic / Visual</t>
  </si>
  <si>
    <t>Premium / Luxury</t>
  </si>
  <si>
    <t>Skin Health</t>
  </si>
  <si>
    <t>Simplicity</t>
  </si>
  <si>
    <t>Clean Beauty</t>
  </si>
  <si>
    <t>Minimalist Aesthetic</t>
  </si>
  <si>
    <t>Self-Care Ritual</t>
  </si>
  <si>
    <t>Accessible Luxury</t>
  </si>
  <si>
    <t>Skin Science</t>
  </si>
  <si>
    <t>Gen Z Identity</t>
  </si>
  <si>
    <t>Hydration / Glow</t>
  </si>
  <si>
    <t>Effortless Beauty</t>
  </si>
  <si>
    <t>date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</si>
  <si>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</si>
  <si>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</si>
  <si>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</si>
  <si>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</si>
  <si>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</si>
  <si>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</si>
  <si>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</si>
  <si>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negative</t>
  </si>
  <si>
    <t>Share of Search down 8% vs last week</t>
  </si>
  <si>
    <t>2026-03-16T10:00:00Z</t>
  </si>
  <si>
    <t>positive</t>
  </si>
  <si>
    <t>LLM Consistency up 5 pts — new all-time high</t>
  </si>
  <si>
    <t>2026-03-15T14:22:00Z</t>
  </si>
  <si>
    <t>neutral</t>
  </si>
  <si>
    <t>Sentiment shifted +6% — driven by pop-up event</t>
  </si>
  <si>
    <t>2026-03-16T08:15:00Z</t>
  </si>
  <si>
    <t>Value share down 5% — dupe conversation spike</t>
  </si>
  <si>
    <t>2026-03-16T09:30:00Z</t>
  </si>
  <si>
    <t>Sender-Receiver alignment improved 4 pts</t>
  </si>
  <si>
    <t>2026-03-14T16:45:00Z</t>
  </si>
  <si>
    <t>Clean Beauty attribute hit 88 — highest in set</t>
  </si>
  <si>
    <t>2026-03-13T11:00:00Z</t>
  </si>
  <si>
    <t>TikTok engagement rate hit 12.1%</t>
  </si>
  <si>
    <t>2026-03-12T09:00:00Z</t>
  </si>
  <si>
    <t>Search momentum declining 3rd week</t>
  </si>
  <si>
    <t>2026-03-15T13:00:00Z</t>
  </si>
  <si>
    <t>Self-Care Ritual score 86 — category leader</t>
  </si>
  <si>
    <t>2026-03-14T10:30:00Z</t>
  </si>
  <si>
    <t>Press</t>
  </si>
  <si>
    <t>Rhode Skin named in TIME's Most Influential Brands of 2026</t>
  </si>
  <si>
    <t>TIME</t>
  </si>
  <si>
    <t>Industry</t>
  </si>
  <si>
    <t>Clean beauty market projected to reach $22B by 2027</t>
  </si>
  <si>
    <t>Business of Fashion</t>
  </si>
  <si>
    <t>2026-03-16T07:00:00Z</t>
  </si>
  <si>
    <t>Hailey Bieber shares new Rhode peptide lip tint — 2.1M likes in 6 hours</t>
  </si>
  <si>
    <t>Instagram</t>
  </si>
  <si>
    <t>2026-03-16T04:00:00Z</t>
  </si>
  <si>
    <t>Rhode expands into Southeast Asian markets with Sephora partnership</t>
  </si>
  <si>
    <t>WWD</t>
  </si>
  <si>
    <t>2026-03-15T12:00:00Z</t>
  </si>
  <si>
    <t>Competitor</t>
  </si>
  <si>
    <t>Glossier launches 'Future Dew' reformulation targeting Gen Z</t>
  </si>
  <si>
    <t>Allure</t>
  </si>
  <si>
    <t>2026-03-15T09:00:00Z</t>
  </si>
  <si>
    <t>TikTok Shop beauty sales surge 340% year-over-year</t>
  </si>
  <si>
    <t>Modern Retail</t>
  </si>
  <si>
    <t>2026-03-14T14:00:00Z</t>
  </si>
  <si>
    <t>Rhode glazing milk goes viral again — 45M views on TikTok</t>
  </si>
  <si>
    <t>TikTok</t>
  </si>
  <si>
    <t>2026-03-14T06:00:00Z</t>
  </si>
  <si>
    <t>Hailey Bieber: 'We wanted to prove celebrity beauty could be substance-first'</t>
  </si>
  <si>
    <t>Vogue</t>
  </si>
  <si>
    <t>2026-03-13T10:00:00Z</t>
  </si>
  <si>
    <t>Laneige launches lip sleeping mask collab with K-pop group</t>
  </si>
  <si>
    <t>Hypebeast</t>
  </si>
  <si>
    <t>2026-03-12T08:00:00Z</t>
  </si>
  <si>
    <t>Gen Z beauty spending up 18% — skincare outpacing makeup</t>
  </si>
  <si>
    <t>McKinsey</t>
  </si>
  <si>
    <t>2026-03-11T11:00:00Z</t>
  </si>
  <si>
    <t>@rhode</t>
  </si>
  <si>
    <t>The peptide lip treatment — now in 3 new shades</t>
  </si>
  <si>
    <t>2026-03-16T12:00:00Z</t>
  </si>
  <si>
    <t>POV: morning skincare with Rhode glazing milk</t>
  </si>
  <si>
    <t>2026-03-15T14:00:00Z</t>
  </si>
  <si>
    <t>Behind the scenes at our NYC pop-up</t>
  </si>
  <si>
    <t>2026-03-15T10:00:00Z</t>
  </si>
  <si>
    <t>@skincarebyhyram</t>
  </si>
  <si>
    <t>Ranking every Rhode product from good to OBSESSED</t>
  </si>
  <si>
    <t>2026-03-14T16:00:00Z</t>
  </si>
  <si>
    <t>Rhode x Krispy Kreme strawberry glaze drop</t>
  </si>
  <si>
    <t>2026-03-14T09:00:00Z</t>
  </si>
  <si>
    <t>3 ways to use the barrier butter you haven't tried</t>
  </si>
  <si>
    <t>2026-03-13T13:00:00Z</t>
  </si>
  <si>
    <t>YouTube</t>
  </si>
  <si>
    <t>The science behind peptide lip treatments</t>
  </si>
  <si>
    <t>2026-03-12T11:00:00Z</t>
  </si>
  <si>
    <t>@charlidamelio</t>
  </si>
  <si>
    <t>My everyday skincare ft. Rhode</t>
  </si>
  <si>
    <t>2026-03-11T15:00:00Z</t>
  </si>
  <si>
    <t>sephora.com</t>
  </si>
  <si>
    <t>vogue.com</t>
  </si>
  <si>
    <t>reddit.com</t>
  </si>
  <si>
    <t>allure.com</t>
  </si>
  <si>
    <t>instagram.com</t>
  </si>
  <si>
    <t>byrdie.com</t>
  </si>
  <si>
    <t>youtube.com</t>
  </si>
  <si>
    <t>tiktok.com</t>
  </si>
  <si>
    <t>glamour.com</t>
  </si>
  <si>
    <t>rhode.com</t>
  </si>
  <si>
    <t>glossier.com</t>
  </si>
  <si>
    <t>nordstrom.com</t>
  </si>
  <si>
    <t>webmd.com</t>
  </si>
  <si>
    <t>dermstore.com</t>
  </si>
  <si>
    <t>16-24</t>
  </si>
  <si>
    <t>25-34</t>
  </si>
  <si>
    <t>35-44</t>
  </si>
  <si>
    <t>45+</t>
  </si>
  <si>
    <t>18-27</t>
  </si>
  <si>
    <t>28-40</t>
  </si>
  <si>
    <t>41+</t>
  </si>
  <si>
    <t>35-49</t>
  </si>
  <si>
    <t>50+</t>
  </si>
  <si>
    <t>Minimalist</t>
  </si>
  <si>
    <t>Luxury Accessible</t>
  </si>
  <si>
    <t>Gen Z</t>
  </si>
  <si>
    <t>Skincare-First</t>
  </si>
  <si>
    <t>Self-Care</t>
  </si>
  <si>
    <t>Gentle</t>
  </si>
  <si>
    <t>Vegan</t>
  </si>
  <si>
    <t>Instagram-Native</t>
  </si>
  <si>
    <t>Millennial</t>
  </si>
  <si>
    <t>Community-Driven</t>
  </si>
  <si>
    <t>Everyday Beauty</t>
  </si>
  <si>
    <t>DTC</t>
  </si>
  <si>
    <t>Dermatologist-Tested</t>
  </si>
  <si>
    <t>Sensitive Skin</t>
  </si>
  <si>
    <t>Science-Backed</t>
  </si>
  <si>
    <t>Classic</t>
  </si>
  <si>
    <t>Department Store</t>
  </si>
  <si>
    <t>K-Beauty</t>
  </si>
  <si>
    <t>Hydration</t>
  </si>
  <si>
    <t>Lip Care</t>
  </si>
  <si>
    <t>Overnight</t>
  </si>
  <si>
    <t>Affordable Luxury</t>
  </si>
  <si>
    <t>Contested</t>
  </si>
  <si>
    <t>Owned</t>
  </si>
  <si>
    <t>Gap</t>
  </si>
  <si>
    <t>Ingredient transparency</t>
  </si>
  <si>
    <t>Price point vs competitors</t>
  </si>
  <si>
    <t>mixed</t>
  </si>
  <si>
    <t>Packaging quality</t>
  </si>
  <si>
    <t>Product size / quantity</t>
  </si>
  <si>
    <t>Celebrity association</t>
  </si>
  <si>
    <t>Longevity / how long it lasts</t>
  </si>
  <si>
    <t>Dupes available</t>
  </si>
  <si>
    <t>Product efficacy</t>
  </si>
  <si>
    <t>Self-care positioning</t>
  </si>
  <si>
    <t>Price perception</t>
  </si>
  <si>
    <t>Community engagement</t>
  </si>
  <si>
    <t>Product simplicity</t>
  </si>
  <si>
    <t>Return policy</t>
  </si>
  <si>
    <t>Dermatologist credibility</t>
  </si>
  <si>
    <t>Product longevity</t>
  </si>
  <si>
    <t>Price vs department store peers</t>
  </si>
  <si>
    <t>Hydration results</t>
  </si>
  <si>
    <t>K-beauty credibility</t>
  </si>
  <si>
    <t>Lip mask cult status</t>
  </si>
  <si>
    <t>Reddit</t>
  </si>
  <si>
    <t>u/skincarejunkie_</t>
  </si>
  <si>
    <t>Rhode's peptide lip treatment is the only lip product that actually hydrates overnight. I've repurchased 4 times.</t>
  </si>
  <si>
    <t>2026-03-14T10:23:00Z</t>
  </si>
  <si>
    <t>@glowwithme</t>
  </si>
  <si>
    <t>Tried the glazing milk and my skin has never looked this good. The glow is insane for a $29 product.</t>
  </si>
  <si>
    <t>2026-03-13T15:42:00Z</t>
  </si>
  <si>
    <t>@thebeautyedit</t>
  </si>
  <si>
    <t>If you want Drunk Elephant results without the price tag, Rhode barrier cream is it. Period.</t>
  </si>
  <si>
    <t>2026-03-12T09:15:00Z</t>
  </si>
  <si>
    <t>@skinbysarah</t>
  </si>
  <si>
    <t>I recommend Rhode to literally everyone. The formulas are so clean and the results are visible in days.</t>
  </si>
  <si>
    <t>2026-03-11T18:30:00Z</t>
  </si>
  <si>
    <t>@beautyboss22</t>
  </si>
  <si>
    <t>This brand doesn't miss. Every single product I've tried from Rhode has become a staple.</t>
  </si>
  <si>
    <t>2026-03-10T12:05:00Z</t>
  </si>
  <si>
    <t>@minimalbeauty</t>
  </si>
  <si>
    <t>Honestly the packaging alone makes it worth it but the product inside is even better.</t>
  </si>
  <si>
    <t>2026-03-09T20:18:00Z</t>
  </si>
  <si>
    <t>u/skincareobsessed</t>
  </si>
  <si>
    <t>Rhode glazing fluid &gt; every other serum I've tried this year. Not even close.</t>
  </si>
  <si>
    <t>2026-03-08T14:55:00Z</t>
  </si>
  <si>
    <t>@realreviews_</t>
  </si>
  <si>
    <t>Bought this for my sister and she's now converted her whole friend group. It sells itself.</t>
  </si>
  <si>
    <t>2026-03-07T11:30:00Z</t>
  </si>
  <si>
    <t>brand_name</t>
  </si>
  <si>
    <t>category_name</t>
  </si>
  <si>
    <t>page_key</t>
  </si>
  <si>
    <t>page_letter</t>
  </si>
  <si>
    <t>page_name</t>
  </si>
  <si>
    <t>page_description</t>
  </si>
  <si>
    <t>page_sort_order</t>
  </si>
  <si>
    <t>submetric_sort_order</t>
  </si>
  <si>
    <t>submetric_name</t>
  </si>
  <si>
    <t>daily_iconic_score</t>
  </si>
  <si>
    <t>daily_dimension_score</t>
  </si>
  <si>
    <t>submetric_score</t>
  </si>
  <si>
    <t>alert_severity</t>
  </si>
  <si>
    <t>alert_title</t>
  </si>
  <si>
    <t>alert_body</t>
  </si>
  <si>
    <t>alert_created_at</t>
  </si>
  <si>
    <t>news_source_tag</t>
  </si>
  <si>
    <t>news_headline</t>
  </si>
  <si>
    <t>news_source_name</t>
  </si>
  <si>
    <t>news_created_at</t>
  </si>
  <si>
    <t>social_platform</t>
  </si>
  <si>
    <t>social_handle</t>
  </si>
  <si>
    <t>social_caption</t>
  </si>
  <si>
    <t>social_engagement_rate</t>
  </si>
  <si>
    <t>social_likes</t>
  </si>
  <si>
    <t>social_comments</t>
  </si>
  <si>
    <t>social_shares</t>
  </si>
  <si>
    <t>social_post_url</t>
  </si>
  <si>
    <t>social_posted_at</t>
  </si>
  <si>
    <t>social_image_url</t>
  </si>
  <si>
    <t>social_followers</t>
  </si>
  <si>
    <t>social_views</t>
  </si>
  <si>
    <t>i1_domain</t>
  </si>
  <si>
    <t>i1_domain_percentage</t>
  </si>
  <si>
    <t>i1_audience_age_group</t>
  </si>
  <si>
    <t>i1_audience_percentage</t>
  </si>
  <si>
    <t>i1_value_source</t>
  </si>
  <si>
    <t>i1_strength</t>
  </si>
  <si>
    <t>c1_scale_share_of_search_pct</t>
  </si>
  <si>
    <t>c1_scale_total_followers</t>
  </si>
  <si>
    <t>c1_scale_interactions</t>
  </si>
  <si>
    <t>c1_scale_llm_rank</t>
  </si>
  <si>
    <t>c1_velocity_search_momentum_pct</t>
  </si>
  <si>
    <t>c1_velocity_follower_growth_pct</t>
  </si>
  <si>
    <t>c1_velocity_interactions_growth</t>
  </si>
  <si>
    <t>c1_velocity_llm_rank_change</t>
  </si>
  <si>
    <t>c1_scale_score</t>
  </si>
  <si>
    <t>c1_velocity_score</t>
  </si>
  <si>
    <t>o_positive_pct</t>
  </si>
  <si>
    <t>o_neutral_pct</t>
  </si>
  <si>
    <t>o_negative_pct</t>
  </si>
  <si>
    <t>o_llm_rec_share</t>
  </si>
  <si>
    <t>o_passion_score</t>
  </si>
  <si>
    <t>o_platform</t>
  </si>
  <si>
    <t>o_author</t>
  </si>
  <si>
    <t>o_quote</t>
  </si>
  <si>
    <t>o_sentiment</t>
  </si>
  <si>
    <t>o_posted_at</t>
  </si>
  <si>
    <t>n_sender_score</t>
  </si>
  <si>
    <t>n_receiver_score</t>
  </si>
  <si>
    <t>n_alignment_gap</t>
  </si>
  <si>
    <t>n_sender_receiver_gap</t>
  </si>
  <si>
    <t>n_sender_alignment_status</t>
  </si>
  <si>
    <t>n_receiver_alignment_status</t>
  </si>
  <si>
    <t>n_alignment_score</t>
  </si>
  <si>
    <t>i2_attribute_score</t>
  </si>
  <si>
    <t>i2_attribute_territory</t>
  </si>
  <si>
    <t>c2_share_pct</t>
  </si>
  <si>
    <t>c2_sentiment</t>
  </si>
  <si>
    <t>https://www.tiktok.com/@reginainfluencer2020/video/7611951457859849493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</si>
  <si>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5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</si>
  <si>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6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</si>
  <si>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7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</si>
  <si>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8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</si>
  <si>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9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</si>
  <si>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10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</si>
  <si>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11</t>
  </si>
  <si>
    <t>https://p16-common-sign.tiktokcdn-us.com/tos-alisg-p-0037/oQBCAFF2ANijIXHRMEZVOjiBI2jvaaSlAMBYV~tplv-tiktokx-origin.image?dr=9636&amp;x-expires=1773460800&amp;x-signature=dG1I0YsG5fcq6w2wF%2FtTEXfSIfA%3D&amp;t=4d5b0474&amp;ps=13740610&amp;shp=81f88b70&amp;shcp=43f4a2f9&amp;idc=useast12</t>
  </si>
  <si>
    <t>n_attribute_name</t>
  </si>
  <si>
    <t>i1_attribute_name</t>
  </si>
  <si>
    <t>i2_attribute_name</t>
  </si>
  <si>
    <t>c2_attribute_name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</si>
</sst>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74762"/>
      </patternFill>
    </fill>
    <fill>
      <patternFill patternType="solid">
        <fgColor rgb="FFFBF9F7"/>
      </patternFill>
    </fill>
    <fill>
      <patternFill patternType="solid">
        <fgColor rgb="FFB86A54"/>
      </patternFill>
    </fill>
    <fill>
      <patternFill patternType="solid">
        <fgColor rgb="FFDAC58C"/>
      </patternFill>
    </fill>
    <fill>
      <patternFill patternType="solid">
        <fgColor rgb="FFACBDA7"/>
      </patternFill>
    </fill>
    <fill>
      <patternFill patternType="solid">
        <fgColor rgb="FF3F1411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E8E2DC"/>
      </left>
      <right style="thin">
        <color rgb="FFE8E2DC"/>
      </right>
      <top style="thin">
        <color rgb="FFE8E2DC"/>
      </top>
      <bottom style="thin">
        <color rgb="FFE8E2DC"/>
      </bottom>
      <diagonal/>
    </border>
    <border>
      <left style="thin">
        <color rgb="FFE8E2DC"/>
      </left>
      <right style="thin">
        <color rgb="FFE8E2DC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0" fontId="0" fillId="8" borderId="0" xfId="0" applyFill="1"/>
    <xf numFmtId="0" fontId="1" fillId="8" borderId="2" xfId="0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vertical="center"/>
    </xf>
    <xf numFmtId="1" fontId="2" fillId="8" borderId="1" xfId="0" applyNumberFormat="1" applyFont="1" applyFill="1" applyBorder="1" applyAlignment="1">
      <alignment vertical="center"/>
    </xf>
    <xf numFmtId="1" fontId="2" fillId="8" borderId="1" xfId="1" applyNumberFormat="1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9</xdr:col>
      <xdr:colOff>482600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12655-52ED-F1AE-0328-832A5C3B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8700" y="1117600"/>
          <a:ext cx="2501900" cy="491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17</xdr:col>
      <xdr:colOff>368300</xdr:colOff>
      <xdr:row>19</xdr:row>
      <xdr:rowOff>12265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0C11F-1E44-2346-B7D2-C16E2A70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1308100"/>
          <a:ext cx="7772400" cy="2488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20</xdr:col>
      <xdr:colOff>368300</xdr:colOff>
      <xdr:row>14</xdr:row>
      <xdr:rowOff>92463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5C960-BA46-D74C-6E9E-6BF76FE8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0" y="1524000"/>
          <a:ext cx="7772400" cy="1235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15</xdr:col>
      <xdr:colOff>431800</xdr:colOff>
      <xdr:row>35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FA975-7F04-299D-9861-0C9836FC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2400" y="2095500"/>
          <a:ext cx="3797300" cy="4749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20</xdr:col>
      <xdr:colOff>368300</xdr:colOff>
      <xdr:row>28</xdr:row>
      <xdr:rowOff>125975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76990C-145B-7ACB-C3F0-A35BE889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1498600"/>
          <a:ext cx="7772400" cy="4126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10</xdr:row>
      <xdr:rowOff>0</xdr:rowOff>
    </xdr:from>
    <xdr:to>
      <xdr:col>24</xdr:col>
      <xdr:colOff>317500</xdr:colOff>
      <xdr:row>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7075E-49B1-B708-A5D9-233EB777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6800" y="2070100"/>
          <a:ext cx="7721600" cy="5067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965200</xdr:colOff>
      <xdr:row>37</xdr:row>
      <xdr:rowOff>76200</xdr:rowOff>
    </xdr:from>
    <xdr:to>
      <xdr:col>7</xdr:col>
      <xdr:colOff>12700</xdr:colOff>
      <xdr:row>51</xdr:row>
      <xdr:rowOff>21036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8A4ED-8A95-EE37-A784-B85C11EC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800" y="7467600"/>
          <a:ext cx="5067300" cy="26118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1054100</xdr:colOff>
      <xdr:row>37</xdr:row>
      <xdr:rowOff>101600</xdr:rowOff>
    </xdr:from>
    <xdr:to>
      <xdr:col>7</xdr:col>
      <xdr:colOff>1130300</xdr:colOff>
      <xdr:row>60</xdr:row>
      <xdr:rowOff>42951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84CE6-430A-2A56-5451-817D8D7B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100" y="7315200"/>
          <a:ext cx="7772400" cy="4322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4762"/>
  </sheetPr>
  <dimension ref="A1:B16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16" customWidth="1"/>
    <col min="2" max="2" width="17" customWidth="1"/>
  </cols>
  <sheetData>
    <row r="1" spans="1:2" x14ac:dyDescent="0.2">
      <c r="A1" s="1" t="s">
        <v>238</v>
      </c>
      <c r="B1" s="1" t="s">
        <v>237</v>
      </c>
    </row>
    <row r="2" spans="1:2" x14ac:dyDescent="0.2">
      <c r="A2" s="2" t="s">
        <v>15</v>
      </c>
      <c r="B2" s="2" t="s">
        <v>0</v>
      </c>
    </row>
    <row r="3" spans="1:2" x14ac:dyDescent="0.2">
      <c r="A3" s="3" t="s">
        <v>15</v>
      </c>
      <c r="B3" s="3" t="s">
        <v>1</v>
      </c>
    </row>
    <row r="4" spans="1:2" x14ac:dyDescent="0.2">
      <c r="A4" s="2" t="s">
        <v>15</v>
      </c>
      <c r="B4" s="2" t="s">
        <v>2</v>
      </c>
    </row>
    <row r="5" spans="1:2" x14ac:dyDescent="0.2">
      <c r="A5" s="3" t="s">
        <v>15</v>
      </c>
      <c r="B5" s="3" t="s">
        <v>3</v>
      </c>
    </row>
    <row r="6" spans="1:2" x14ac:dyDescent="0.2">
      <c r="A6" s="2" t="s">
        <v>15</v>
      </c>
      <c r="B6" s="2" t="s">
        <v>4</v>
      </c>
    </row>
    <row r="7" spans="1:2" x14ac:dyDescent="0.2">
      <c r="A7" s="3" t="s">
        <v>16</v>
      </c>
      <c r="B7" s="3" t="s">
        <v>5</v>
      </c>
    </row>
    <row r="8" spans="1:2" x14ac:dyDescent="0.2">
      <c r="A8" s="2" t="s">
        <v>16</v>
      </c>
      <c r="B8" s="2" t="s">
        <v>6</v>
      </c>
    </row>
    <row r="9" spans="1:2" x14ac:dyDescent="0.2">
      <c r="A9" s="3" t="s">
        <v>16</v>
      </c>
      <c r="B9" s="3" t="s">
        <v>7</v>
      </c>
    </row>
    <row r="10" spans="1:2" x14ac:dyDescent="0.2">
      <c r="A10" s="2" t="s">
        <v>16</v>
      </c>
      <c r="B10" s="2" t="s">
        <v>8</v>
      </c>
    </row>
    <row r="11" spans="1:2" x14ac:dyDescent="0.2">
      <c r="A11" s="3" t="s">
        <v>16</v>
      </c>
      <c r="B11" s="3" t="s">
        <v>9</v>
      </c>
    </row>
    <row r="12" spans="1:2" x14ac:dyDescent="0.2">
      <c r="A12" s="2" t="s">
        <v>17</v>
      </c>
      <c r="B12" s="2" t="s">
        <v>10</v>
      </c>
    </row>
    <row r="13" spans="1:2" x14ac:dyDescent="0.2">
      <c r="A13" s="3" t="s">
        <v>17</v>
      </c>
      <c r="B13" s="3" t="s">
        <v>11</v>
      </c>
    </row>
    <row r="14" spans="1:2" x14ac:dyDescent="0.2">
      <c r="A14" s="2" t="s">
        <v>17</v>
      </c>
      <c r="B14" s="2" t="s">
        <v>12</v>
      </c>
    </row>
    <row r="15" spans="1:2" x14ac:dyDescent="0.2">
      <c r="A15" s="3" t="s">
        <v>17</v>
      </c>
      <c r="B15" s="3" t="s">
        <v>13</v>
      </c>
    </row>
    <row r="16" spans="1:2" x14ac:dyDescent="0.2">
      <c r="A16" s="2" t="s">
        <v>17</v>
      </c>
      <c r="B16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4762"/>
  </sheetPr>
  <dimension ref="A1:E7"/>
  <sheetViews>
    <sheetView zoomScale="120" zoomScaleNormal="120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46" customWidth="1"/>
    <col min="5" max="5" width="22" customWidth="1"/>
  </cols>
  <sheetData>
    <row r="1" spans="1:5" ht="28" x14ac:dyDescent="0.2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</row>
    <row r="2" spans="1:5" x14ac:dyDescent="0.2">
      <c r="A2" s="2" t="s">
        <v>18</v>
      </c>
      <c r="B2" s="2" t="s">
        <v>19</v>
      </c>
      <c r="C2" s="2" t="s">
        <v>20</v>
      </c>
      <c r="D2" s="2" t="s">
        <v>21</v>
      </c>
      <c r="E2" s="2">
        <v>1</v>
      </c>
    </row>
    <row r="3" spans="1:5" x14ac:dyDescent="0.2">
      <c r="A3" s="3" t="s">
        <v>22</v>
      </c>
      <c r="B3" s="3" t="s">
        <v>23</v>
      </c>
      <c r="C3" s="3" t="s">
        <v>24</v>
      </c>
      <c r="D3" s="3" t="s">
        <v>25</v>
      </c>
      <c r="E3" s="3">
        <v>2</v>
      </c>
    </row>
    <row r="4" spans="1:5" x14ac:dyDescent="0.2">
      <c r="A4" s="2" t="s">
        <v>26</v>
      </c>
      <c r="B4" s="2" t="s">
        <v>26</v>
      </c>
      <c r="C4" s="2" t="s">
        <v>27</v>
      </c>
      <c r="D4" s="2" t="s">
        <v>28</v>
      </c>
      <c r="E4" s="2">
        <v>3</v>
      </c>
    </row>
    <row r="5" spans="1:5" x14ac:dyDescent="0.2">
      <c r="A5" s="3" t="s">
        <v>29</v>
      </c>
      <c r="B5" s="3" t="s">
        <v>29</v>
      </c>
      <c r="C5" s="3" t="s">
        <v>30</v>
      </c>
      <c r="D5" s="3" t="s">
        <v>31</v>
      </c>
      <c r="E5" s="3">
        <v>4</v>
      </c>
    </row>
    <row r="6" spans="1:5" x14ac:dyDescent="0.2">
      <c r="A6" s="2" t="s">
        <v>32</v>
      </c>
      <c r="B6" s="2" t="s">
        <v>19</v>
      </c>
      <c r="C6" s="2" t="s">
        <v>33</v>
      </c>
      <c r="D6" s="2" t="s">
        <v>34</v>
      </c>
      <c r="E6" s="2">
        <v>5</v>
      </c>
    </row>
    <row r="7" spans="1:5" x14ac:dyDescent="0.2">
      <c r="A7" s="3" t="s">
        <v>35</v>
      </c>
      <c r="B7" s="3" t="s">
        <v>23</v>
      </c>
      <c r="C7" s="3" t="s">
        <v>36</v>
      </c>
      <c r="D7" s="3" t="s">
        <v>37</v>
      </c>
      <c r="E7" s="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4762"/>
  </sheetPr>
  <dimension ref="A1:C13"/>
  <sheetViews>
    <sheetView zoomScale="140" zoomScaleNormal="140" workbookViewId="0">
      <pane ySplit="1" topLeftCell="A2" activePane="bottomLeft" state="frozen"/>
      <selection pane="bottomLeft" sqref="A1:C13"/>
    </sheetView>
  </sheetViews>
  <sheetFormatPr baseColWidth="10" defaultColWidth="8.83203125" defaultRowHeight="15" x14ac:dyDescent="0.2"/>
  <cols>
    <col min="1" max="1" width="12" customWidth="1"/>
    <col min="2" max="2" width="31" customWidth="1"/>
  </cols>
  <sheetData>
    <row r="1" spans="1:3" ht="28" customHeight="1" x14ac:dyDescent="0.2">
      <c r="A1" s="1" t="s">
        <v>239</v>
      </c>
      <c r="B1" s="1" t="s">
        <v>245</v>
      </c>
      <c r="C1" s="1" t="s">
        <v>244</v>
      </c>
    </row>
    <row r="2" spans="1:3" x14ac:dyDescent="0.2">
      <c r="A2" t="s">
        <v>18</v>
      </c>
      <c r="B2" t="s">
        <v>38</v>
      </c>
      <c r="C2">
        <v>1</v>
      </c>
    </row>
    <row r="3" spans="1:3" x14ac:dyDescent="0.2">
      <c r="A3" t="s">
        <v>18</v>
      </c>
      <c r="B3" t="s">
        <v>40</v>
      </c>
      <c r="C3">
        <v>2</v>
      </c>
    </row>
    <row r="4" spans="1:3" x14ac:dyDescent="0.2">
      <c r="A4" t="s">
        <v>22</v>
      </c>
      <c r="B4" t="s">
        <v>41</v>
      </c>
      <c r="C4">
        <v>1</v>
      </c>
    </row>
    <row r="5" spans="1:3" x14ac:dyDescent="0.2">
      <c r="A5" t="s">
        <v>22</v>
      </c>
      <c r="B5" t="s">
        <v>42</v>
      </c>
      <c r="C5">
        <v>2</v>
      </c>
    </row>
    <row r="6" spans="1:3" x14ac:dyDescent="0.2">
      <c r="A6" t="s">
        <v>22</v>
      </c>
      <c r="B6" t="s">
        <v>39</v>
      </c>
      <c r="C6">
        <v>3</v>
      </c>
    </row>
    <row r="7" spans="1:3" x14ac:dyDescent="0.2">
      <c r="A7" t="s">
        <v>26</v>
      </c>
      <c r="B7" t="s">
        <v>43</v>
      </c>
      <c r="C7">
        <v>1</v>
      </c>
    </row>
    <row r="8" spans="1:3" x14ac:dyDescent="0.2">
      <c r="A8" t="s">
        <v>29</v>
      </c>
      <c r="B8" t="s">
        <v>44</v>
      </c>
      <c r="C8">
        <v>1</v>
      </c>
    </row>
    <row r="9" spans="1:3" x14ac:dyDescent="0.2">
      <c r="A9" t="s">
        <v>29</v>
      </c>
      <c r="B9" t="s">
        <v>45</v>
      </c>
      <c r="C9">
        <v>2</v>
      </c>
    </row>
    <row r="10" spans="1:3" x14ac:dyDescent="0.2">
      <c r="A10" t="s">
        <v>29</v>
      </c>
      <c r="B10" t="s">
        <v>46</v>
      </c>
      <c r="C10">
        <v>3</v>
      </c>
    </row>
    <row r="11" spans="1:3" x14ac:dyDescent="0.2">
      <c r="A11" t="s">
        <v>32</v>
      </c>
      <c r="B11" t="s">
        <v>47</v>
      </c>
      <c r="C11">
        <v>1</v>
      </c>
    </row>
    <row r="12" spans="1:3" x14ac:dyDescent="0.2">
      <c r="A12" t="s">
        <v>35</v>
      </c>
      <c r="B12" t="s">
        <v>48</v>
      </c>
      <c r="C12">
        <v>1</v>
      </c>
    </row>
    <row r="13" spans="1:3" x14ac:dyDescent="0.2">
      <c r="A13" t="s">
        <v>35</v>
      </c>
      <c r="B13" t="s">
        <v>49</v>
      </c>
      <c r="C1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86A54"/>
  </sheetPr>
  <dimension ref="A1:D36"/>
  <sheetViews>
    <sheetView tabSelected="1" workbookViewId="0">
      <pane ySplit="1" topLeftCell="A2" activePane="bottomLeft" state="frozen"/>
      <selection pane="bottomLeft" activeCell="K14" sqref="K14"/>
    </sheetView>
  </sheetViews>
  <sheetFormatPr baseColWidth="10" defaultColWidth="8.83203125" defaultRowHeight="15" x14ac:dyDescent="0.2"/>
  <cols>
    <col min="1" max="1" width="17" customWidth="1"/>
    <col min="2" max="2" width="16.33203125" customWidth="1"/>
    <col min="3" max="3" width="13" customWidth="1"/>
    <col min="4" max="4" width="16.1640625" customWidth="1"/>
  </cols>
  <sheetData>
    <row r="1" spans="1:4" ht="28" x14ac:dyDescent="0.2">
      <c r="A1" s="4" t="s">
        <v>237</v>
      </c>
      <c r="B1" s="4" t="s">
        <v>238</v>
      </c>
      <c r="C1" s="4" t="s">
        <v>63</v>
      </c>
      <c r="D1" s="4" t="s">
        <v>246</v>
      </c>
    </row>
    <row r="2" spans="1:4" x14ac:dyDescent="0.2">
      <c r="A2" s="5" t="s">
        <v>0</v>
      </c>
      <c r="B2" s="2" t="s">
        <v>15</v>
      </c>
      <c r="C2" s="2" t="s">
        <v>64</v>
      </c>
      <c r="D2" s="2">
        <v>74.099999999999994</v>
      </c>
    </row>
    <row r="3" spans="1:4" x14ac:dyDescent="0.2">
      <c r="A3" s="6" t="s">
        <v>0</v>
      </c>
      <c r="B3" s="3" t="s">
        <v>15</v>
      </c>
      <c r="C3" s="3" t="s">
        <v>65</v>
      </c>
      <c r="D3" s="3">
        <v>74.099999999999994</v>
      </c>
    </row>
    <row r="4" spans="1:4" x14ac:dyDescent="0.2">
      <c r="A4" s="5" t="s">
        <v>0</v>
      </c>
      <c r="B4" s="2" t="s">
        <v>15</v>
      </c>
      <c r="C4" s="2" t="s">
        <v>66</v>
      </c>
      <c r="D4" s="2">
        <v>75</v>
      </c>
    </row>
    <row r="5" spans="1:4" x14ac:dyDescent="0.2">
      <c r="A5" s="6" t="s">
        <v>0</v>
      </c>
      <c r="B5" s="3" t="s">
        <v>15</v>
      </c>
      <c r="C5" s="3" t="s">
        <v>67</v>
      </c>
      <c r="D5" s="3">
        <v>75.5</v>
      </c>
    </row>
    <row r="6" spans="1:4" x14ac:dyDescent="0.2">
      <c r="A6" s="5" t="s">
        <v>0</v>
      </c>
      <c r="B6" s="2" t="s">
        <v>15</v>
      </c>
      <c r="C6" s="2" t="s">
        <v>68</v>
      </c>
      <c r="D6" s="2">
        <v>76.599999999999994</v>
      </c>
    </row>
    <row r="7" spans="1:4" x14ac:dyDescent="0.2">
      <c r="A7" s="6" t="s">
        <v>0</v>
      </c>
      <c r="B7" s="3" t="s">
        <v>15</v>
      </c>
      <c r="C7" s="3" t="s">
        <v>69</v>
      </c>
      <c r="D7" s="3">
        <v>77.2</v>
      </c>
    </row>
    <row r="8" spans="1:4" x14ac:dyDescent="0.2">
      <c r="A8" s="5" t="s">
        <v>0</v>
      </c>
      <c r="B8" s="2" t="s">
        <v>15</v>
      </c>
      <c r="C8" s="2" t="s">
        <v>70</v>
      </c>
      <c r="D8" s="2">
        <v>78</v>
      </c>
    </row>
    <row r="9" spans="1:4" x14ac:dyDescent="0.2">
      <c r="A9" s="3" t="s">
        <v>1</v>
      </c>
      <c r="B9" s="3" t="s">
        <v>15</v>
      </c>
      <c r="C9" s="3" t="s">
        <v>64</v>
      </c>
      <c r="D9" s="3">
        <v>65.599999999999994</v>
      </c>
    </row>
    <row r="10" spans="1:4" x14ac:dyDescent="0.2">
      <c r="A10" s="2" t="s">
        <v>1</v>
      </c>
      <c r="B10" s="2" t="s">
        <v>15</v>
      </c>
      <c r="C10" s="2" t="s">
        <v>65</v>
      </c>
      <c r="D10" s="2">
        <v>66.5</v>
      </c>
    </row>
    <row r="11" spans="1:4" x14ac:dyDescent="0.2">
      <c r="A11" s="3" t="s">
        <v>1</v>
      </c>
      <c r="B11" s="3" t="s">
        <v>15</v>
      </c>
      <c r="C11" s="3" t="s">
        <v>66</v>
      </c>
      <c r="D11" s="3">
        <v>66.7</v>
      </c>
    </row>
    <row r="12" spans="1:4" x14ac:dyDescent="0.2">
      <c r="A12" s="2" t="s">
        <v>1</v>
      </c>
      <c r="B12" s="2" t="s">
        <v>15</v>
      </c>
      <c r="C12" s="2" t="s">
        <v>67</v>
      </c>
      <c r="D12" s="2">
        <v>67.5</v>
      </c>
    </row>
    <row r="13" spans="1:4" x14ac:dyDescent="0.2">
      <c r="A13" s="3" t="s">
        <v>1</v>
      </c>
      <c r="B13" s="3" t="s">
        <v>15</v>
      </c>
      <c r="C13" s="3" t="s">
        <v>68</v>
      </c>
      <c r="D13" s="3">
        <v>68.400000000000006</v>
      </c>
    </row>
    <row r="14" spans="1:4" x14ac:dyDescent="0.2">
      <c r="A14" s="2" t="s">
        <v>1</v>
      </c>
      <c r="B14" s="2" t="s">
        <v>15</v>
      </c>
      <c r="C14" s="2" t="s">
        <v>69</v>
      </c>
      <c r="D14" s="2">
        <v>68.5</v>
      </c>
    </row>
    <row r="15" spans="1:4" x14ac:dyDescent="0.2">
      <c r="A15" s="3" t="s">
        <v>1</v>
      </c>
      <c r="B15" s="3" t="s">
        <v>15</v>
      </c>
      <c r="C15" s="3" t="s">
        <v>70</v>
      </c>
      <c r="D15" s="3">
        <v>69.3</v>
      </c>
    </row>
    <row r="16" spans="1:4" x14ac:dyDescent="0.2">
      <c r="A16" s="2" t="s">
        <v>2</v>
      </c>
      <c r="B16" s="2" t="s">
        <v>15</v>
      </c>
      <c r="C16" s="2" t="s">
        <v>64</v>
      </c>
      <c r="D16" s="2">
        <v>70.099999999999994</v>
      </c>
    </row>
    <row r="17" spans="1:4" x14ac:dyDescent="0.2">
      <c r="A17" s="3" t="s">
        <v>2</v>
      </c>
      <c r="B17" s="3" t="s">
        <v>15</v>
      </c>
      <c r="C17" s="3" t="s">
        <v>65</v>
      </c>
      <c r="D17" s="3">
        <v>70.599999999999994</v>
      </c>
    </row>
    <row r="18" spans="1:4" x14ac:dyDescent="0.2">
      <c r="A18" s="2" t="s">
        <v>2</v>
      </c>
      <c r="B18" s="2" t="s">
        <v>15</v>
      </c>
      <c r="C18" s="2" t="s">
        <v>66</v>
      </c>
      <c r="D18" s="2">
        <v>70.900000000000006</v>
      </c>
    </row>
    <row r="19" spans="1:4" x14ac:dyDescent="0.2">
      <c r="A19" s="3" t="s">
        <v>2</v>
      </c>
      <c r="B19" s="3" t="s">
        <v>15</v>
      </c>
      <c r="C19" s="3" t="s">
        <v>67</v>
      </c>
      <c r="D19" s="3">
        <v>71.900000000000006</v>
      </c>
    </row>
    <row r="20" spans="1:4" x14ac:dyDescent="0.2">
      <c r="A20" s="2" t="s">
        <v>2</v>
      </c>
      <c r="B20" s="2" t="s">
        <v>15</v>
      </c>
      <c r="C20" s="2" t="s">
        <v>68</v>
      </c>
      <c r="D20" s="2">
        <v>72.7</v>
      </c>
    </row>
    <row r="21" spans="1:4" x14ac:dyDescent="0.2">
      <c r="A21" s="3" t="s">
        <v>2</v>
      </c>
      <c r="B21" s="3" t="s">
        <v>15</v>
      </c>
      <c r="C21" s="3" t="s">
        <v>69</v>
      </c>
      <c r="D21" s="3">
        <v>72.5</v>
      </c>
    </row>
    <row r="22" spans="1:4" x14ac:dyDescent="0.2">
      <c r="A22" s="2" t="s">
        <v>2</v>
      </c>
      <c r="B22" s="2" t="s">
        <v>15</v>
      </c>
      <c r="C22" s="2" t="s">
        <v>70</v>
      </c>
      <c r="D22" s="2">
        <v>73.900000000000006</v>
      </c>
    </row>
    <row r="23" spans="1:4" x14ac:dyDescent="0.2">
      <c r="A23" s="3" t="s">
        <v>3</v>
      </c>
      <c r="B23" s="3" t="s">
        <v>15</v>
      </c>
      <c r="C23" s="3" t="s">
        <v>64</v>
      </c>
      <c r="D23" s="3">
        <v>59.2</v>
      </c>
    </row>
    <row r="24" spans="1:4" x14ac:dyDescent="0.2">
      <c r="A24" s="2" t="s">
        <v>3</v>
      </c>
      <c r="B24" s="2" t="s">
        <v>15</v>
      </c>
      <c r="C24" s="2" t="s">
        <v>65</v>
      </c>
      <c r="D24" s="2">
        <v>59.4</v>
      </c>
    </row>
    <row r="25" spans="1:4" x14ac:dyDescent="0.2">
      <c r="A25" s="3" t="s">
        <v>3</v>
      </c>
      <c r="B25" s="3" t="s">
        <v>15</v>
      </c>
      <c r="C25" s="3" t="s">
        <v>66</v>
      </c>
      <c r="D25" s="3">
        <v>59.9</v>
      </c>
    </row>
    <row r="26" spans="1:4" x14ac:dyDescent="0.2">
      <c r="A26" s="2" t="s">
        <v>3</v>
      </c>
      <c r="B26" s="2" t="s">
        <v>15</v>
      </c>
      <c r="C26" s="2" t="s">
        <v>67</v>
      </c>
      <c r="D26" s="2">
        <v>61.3</v>
      </c>
    </row>
    <row r="27" spans="1:4" x14ac:dyDescent="0.2">
      <c r="A27" s="3" t="s">
        <v>3</v>
      </c>
      <c r="B27" s="3" t="s">
        <v>15</v>
      </c>
      <c r="C27" s="3" t="s">
        <v>68</v>
      </c>
      <c r="D27" s="3">
        <v>61.2</v>
      </c>
    </row>
    <row r="28" spans="1:4" x14ac:dyDescent="0.2">
      <c r="A28" s="2" t="s">
        <v>3</v>
      </c>
      <c r="B28" s="2" t="s">
        <v>15</v>
      </c>
      <c r="C28" s="2" t="s">
        <v>69</v>
      </c>
      <c r="D28" s="2">
        <v>61.6</v>
      </c>
    </row>
    <row r="29" spans="1:4" x14ac:dyDescent="0.2">
      <c r="A29" s="3" t="s">
        <v>3</v>
      </c>
      <c r="B29" s="3" t="s">
        <v>15</v>
      </c>
      <c r="C29" s="3" t="s">
        <v>70</v>
      </c>
      <c r="D29" s="3">
        <v>62.2</v>
      </c>
    </row>
    <row r="30" spans="1:4" x14ac:dyDescent="0.2">
      <c r="A30" s="2" t="s">
        <v>4</v>
      </c>
      <c r="B30" s="2" t="s">
        <v>15</v>
      </c>
      <c r="C30" s="2" t="s">
        <v>64</v>
      </c>
      <c r="D30" s="2">
        <v>63.3</v>
      </c>
    </row>
    <row r="31" spans="1:4" x14ac:dyDescent="0.2">
      <c r="A31" s="3" t="s">
        <v>4</v>
      </c>
      <c r="B31" s="3" t="s">
        <v>15</v>
      </c>
      <c r="C31" s="3" t="s">
        <v>65</v>
      </c>
      <c r="D31" s="3">
        <v>63.7</v>
      </c>
    </row>
    <row r="32" spans="1:4" x14ac:dyDescent="0.2">
      <c r="A32" s="2" t="s">
        <v>4</v>
      </c>
      <c r="B32" s="2" t="s">
        <v>15</v>
      </c>
      <c r="C32" s="2" t="s">
        <v>66</v>
      </c>
      <c r="D32" s="2">
        <v>64.5</v>
      </c>
    </row>
    <row r="33" spans="1:4" x14ac:dyDescent="0.2">
      <c r="A33" s="3" t="s">
        <v>4</v>
      </c>
      <c r="B33" s="3" t="s">
        <v>15</v>
      </c>
      <c r="C33" s="3" t="s">
        <v>67</v>
      </c>
      <c r="D33" s="3">
        <v>65</v>
      </c>
    </row>
    <row r="34" spans="1:4" x14ac:dyDescent="0.2">
      <c r="A34" s="2" t="s">
        <v>4</v>
      </c>
      <c r="B34" s="2" t="s">
        <v>15</v>
      </c>
      <c r="C34" s="2" t="s">
        <v>68</v>
      </c>
      <c r="D34" s="2">
        <v>65.400000000000006</v>
      </c>
    </row>
    <row r="35" spans="1:4" x14ac:dyDescent="0.2">
      <c r="A35" s="3" t="s">
        <v>4</v>
      </c>
      <c r="B35" s="3" t="s">
        <v>15</v>
      </c>
      <c r="C35" s="3" t="s">
        <v>69</v>
      </c>
      <c r="D35" s="3">
        <v>66.5</v>
      </c>
    </row>
    <row r="36" spans="1:4" x14ac:dyDescent="0.2">
      <c r="A36" s="2" t="s">
        <v>4</v>
      </c>
      <c r="B36" s="2" t="s">
        <v>15</v>
      </c>
      <c r="C36" s="2" t="s">
        <v>70</v>
      </c>
      <c r="D36" s="2">
        <v>66.5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86A54"/>
  </sheetPr>
  <dimension ref="A1:E211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2" customWidth="1"/>
    <col min="4" max="4" width="13" customWidth="1"/>
    <col min="5" max="5" width="10" customWidth="1"/>
  </cols>
  <sheetData>
    <row r="1" spans="1:5" ht="42" x14ac:dyDescent="0.2">
      <c r="A1" s="4" t="s">
        <v>237</v>
      </c>
      <c r="B1" s="4" t="s">
        <v>238</v>
      </c>
      <c r="C1" s="4" t="s">
        <v>239</v>
      </c>
      <c r="D1" s="4" t="s">
        <v>63</v>
      </c>
      <c r="E1" s="4" t="s">
        <v>247</v>
      </c>
    </row>
    <row r="2" spans="1:5" x14ac:dyDescent="0.2">
      <c r="A2" s="5" t="s">
        <v>0</v>
      </c>
      <c r="B2" s="2" t="s">
        <v>15</v>
      </c>
      <c r="C2" s="2" t="s">
        <v>18</v>
      </c>
      <c r="D2" s="2" t="s">
        <v>64</v>
      </c>
      <c r="E2" s="2">
        <v>72.099999999999994</v>
      </c>
    </row>
    <row r="3" spans="1:5" x14ac:dyDescent="0.2">
      <c r="A3" s="6" t="s">
        <v>0</v>
      </c>
      <c r="B3" s="3" t="s">
        <v>15</v>
      </c>
      <c r="C3" s="3" t="s">
        <v>18</v>
      </c>
      <c r="D3" s="3" t="s">
        <v>65</v>
      </c>
      <c r="E3" s="3">
        <v>72.900000000000006</v>
      </c>
    </row>
    <row r="4" spans="1:5" x14ac:dyDescent="0.2">
      <c r="A4" s="5" t="s">
        <v>0</v>
      </c>
      <c r="B4" s="2" t="s">
        <v>15</v>
      </c>
      <c r="C4" s="2" t="s">
        <v>18</v>
      </c>
      <c r="D4" s="2" t="s">
        <v>66</v>
      </c>
      <c r="E4" s="2">
        <v>73.3</v>
      </c>
    </row>
    <row r="5" spans="1:5" x14ac:dyDescent="0.2">
      <c r="A5" s="6" t="s">
        <v>0</v>
      </c>
      <c r="B5" s="3" t="s">
        <v>15</v>
      </c>
      <c r="C5" s="3" t="s">
        <v>18</v>
      </c>
      <c r="D5" s="3" t="s">
        <v>67</v>
      </c>
      <c r="E5" s="3">
        <v>74.2</v>
      </c>
    </row>
    <row r="6" spans="1:5" x14ac:dyDescent="0.2">
      <c r="A6" s="5" t="s">
        <v>0</v>
      </c>
      <c r="B6" s="2" t="s">
        <v>15</v>
      </c>
      <c r="C6" s="2" t="s">
        <v>18</v>
      </c>
      <c r="D6" s="2" t="s">
        <v>68</v>
      </c>
      <c r="E6" s="2">
        <v>74.5</v>
      </c>
    </row>
    <row r="7" spans="1:5" x14ac:dyDescent="0.2">
      <c r="A7" s="6" t="s">
        <v>0</v>
      </c>
      <c r="B7" s="3" t="s">
        <v>15</v>
      </c>
      <c r="C7" s="3" t="s">
        <v>18</v>
      </c>
      <c r="D7" s="3" t="s">
        <v>69</v>
      </c>
      <c r="E7" s="3">
        <v>75.2</v>
      </c>
    </row>
    <row r="8" spans="1:5" x14ac:dyDescent="0.2">
      <c r="A8" s="5" t="s">
        <v>0</v>
      </c>
      <c r="B8" s="2" t="s">
        <v>15</v>
      </c>
      <c r="C8" s="2" t="s">
        <v>18</v>
      </c>
      <c r="D8" s="2" t="s">
        <v>70</v>
      </c>
      <c r="E8" s="2">
        <v>75.099999999999994</v>
      </c>
    </row>
    <row r="9" spans="1:5" x14ac:dyDescent="0.2">
      <c r="A9" s="6" t="s">
        <v>0</v>
      </c>
      <c r="B9" s="3" t="s">
        <v>15</v>
      </c>
      <c r="C9" s="3" t="s">
        <v>22</v>
      </c>
      <c r="D9" s="3" t="s">
        <v>64</v>
      </c>
      <c r="E9" s="3">
        <v>79.7</v>
      </c>
    </row>
    <row r="10" spans="1:5" x14ac:dyDescent="0.2">
      <c r="A10" s="5" t="s">
        <v>0</v>
      </c>
      <c r="B10" s="2" t="s">
        <v>15</v>
      </c>
      <c r="C10" s="2" t="s">
        <v>22</v>
      </c>
      <c r="D10" s="2" t="s">
        <v>65</v>
      </c>
      <c r="E10" s="2">
        <v>80.400000000000006</v>
      </c>
    </row>
    <row r="11" spans="1:5" x14ac:dyDescent="0.2">
      <c r="A11" s="6" t="s">
        <v>0</v>
      </c>
      <c r="B11" s="3" t="s">
        <v>15</v>
      </c>
      <c r="C11" s="3" t="s">
        <v>22</v>
      </c>
      <c r="D11" s="3" t="s">
        <v>66</v>
      </c>
      <c r="E11" s="3">
        <v>80.8</v>
      </c>
    </row>
    <row r="12" spans="1:5" x14ac:dyDescent="0.2">
      <c r="A12" s="5" t="s">
        <v>0</v>
      </c>
      <c r="B12" s="2" t="s">
        <v>15</v>
      </c>
      <c r="C12" s="2" t="s">
        <v>22</v>
      </c>
      <c r="D12" s="2" t="s">
        <v>67</v>
      </c>
      <c r="E12" s="2">
        <v>81.5</v>
      </c>
    </row>
    <row r="13" spans="1:5" x14ac:dyDescent="0.2">
      <c r="A13" s="6" t="s">
        <v>0</v>
      </c>
      <c r="B13" s="3" t="s">
        <v>15</v>
      </c>
      <c r="C13" s="3" t="s">
        <v>22</v>
      </c>
      <c r="D13" s="3" t="s">
        <v>68</v>
      </c>
      <c r="E13" s="3">
        <v>82</v>
      </c>
    </row>
    <row r="14" spans="1:5" x14ac:dyDescent="0.2">
      <c r="A14" s="5" t="s">
        <v>0</v>
      </c>
      <c r="B14" s="2" t="s">
        <v>15</v>
      </c>
      <c r="C14" s="2" t="s">
        <v>22</v>
      </c>
      <c r="D14" s="2" t="s">
        <v>69</v>
      </c>
      <c r="E14" s="2">
        <v>82.8</v>
      </c>
    </row>
    <row r="15" spans="1:5" x14ac:dyDescent="0.2">
      <c r="A15" s="6" t="s">
        <v>0</v>
      </c>
      <c r="B15" s="3" t="s">
        <v>15</v>
      </c>
      <c r="C15" s="3" t="s">
        <v>22</v>
      </c>
      <c r="D15" s="3" t="s">
        <v>70</v>
      </c>
      <c r="E15" s="3">
        <v>83.7</v>
      </c>
    </row>
    <row r="16" spans="1:5" x14ac:dyDescent="0.2">
      <c r="A16" s="5" t="s">
        <v>0</v>
      </c>
      <c r="B16" s="2" t="s">
        <v>15</v>
      </c>
      <c r="C16" s="2" t="s">
        <v>26</v>
      </c>
      <c r="D16" s="2" t="s">
        <v>64</v>
      </c>
      <c r="E16" s="2">
        <v>82.9</v>
      </c>
    </row>
    <row r="17" spans="1:5" x14ac:dyDescent="0.2">
      <c r="A17" s="6" t="s">
        <v>0</v>
      </c>
      <c r="B17" s="3" t="s">
        <v>15</v>
      </c>
      <c r="C17" s="3" t="s">
        <v>26</v>
      </c>
      <c r="D17" s="3" t="s">
        <v>65</v>
      </c>
      <c r="E17" s="3">
        <v>83.5</v>
      </c>
    </row>
    <row r="18" spans="1:5" x14ac:dyDescent="0.2">
      <c r="A18" s="5" t="s">
        <v>0</v>
      </c>
      <c r="B18" s="2" t="s">
        <v>15</v>
      </c>
      <c r="C18" s="2" t="s">
        <v>26</v>
      </c>
      <c r="D18" s="2" t="s">
        <v>66</v>
      </c>
      <c r="E18" s="2">
        <v>83.9</v>
      </c>
    </row>
    <row r="19" spans="1:5" x14ac:dyDescent="0.2">
      <c r="A19" s="6" t="s">
        <v>0</v>
      </c>
      <c r="B19" s="3" t="s">
        <v>15</v>
      </c>
      <c r="C19" s="3" t="s">
        <v>26</v>
      </c>
      <c r="D19" s="3" t="s">
        <v>67</v>
      </c>
      <c r="E19" s="3">
        <v>84.6</v>
      </c>
    </row>
    <row r="20" spans="1:5" x14ac:dyDescent="0.2">
      <c r="A20" s="5" t="s">
        <v>0</v>
      </c>
      <c r="B20" s="2" t="s">
        <v>15</v>
      </c>
      <c r="C20" s="2" t="s">
        <v>26</v>
      </c>
      <c r="D20" s="2" t="s">
        <v>68</v>
      </c>
      <c r="E20" s="2">
        <v>85.8</v>
      </c>
    </row>
    <row r="21" spans="1:5" x14ac:dyDescent="0.2">
      <c r="A21" s="6" t="s">
        <v>0</v>
      </c>
      <c r="B21" s="3" t="s">
        <v>15</v>
      </c>
      <c r="C21" s="3" t="s">
        <v>26</v>
      </c>
      <c r="D21" s="3" t="s">
        <v>69</v>
      </c>
      <c r="E21" s="3">
        <v>86.1</v>
      </c>
    </row>
    <row r="22" spans="1:5" x14ac:dyDescent="0.2">
      <c r="A22" s="5" t="s">
        <v>0</v>
      </c>
      <c r="B22" s="2" t="s">
        <v>15</v>
      </c>
      <c r="C22" s="2" t="s">
        <v>26</v>
      </c>
      <c r="D22" s="2" t="s">
        <v>70</v>
      </c>
      <c r="E22" s="2">
        <v>86.7</v>
      </c>
    </row>
    <row r="23" spans="1:5" x14ac:dyDescent="0.2">
      <c r="A23" s="6" t="s">
        <v>0</v>
      </c>
      <c r="B23" s="3" t="s">
        <v>15</v>
      </c>
      <c r="C23" s="3" t="s">
        <v>29</v>
      </c>
      <c r="D23" s="3" t="s">
        <v>64</v>
      </c>
      <c r="E23" s="3">
        <v>68.7</v>
      </c>
    </row>
    <row r="24" spans="1:5" x14ac:dyDescent="0.2">
      <c r="A24" s="5" t="s">
        <v>0</v>
      </c>
      <c r="B24" s="2" t="s">
        <v>15</v>
      </c>
      <c r="C24" s="2" t="s">
        <v>29</v>
      </c>
      <c r="D24" s="2" t="s">
        <v>65</v>
      </c>
      <c r="E24" s="2">
        <v>69.8</v>
      </c>
    </row>
    <row r="25" spans="1:5" x14ac:dyDescent="0.2">
      <c r="A25" s="6" t="s">
        <v>0</v>
      </c>
      <c r="B25" s="3" t="s">
        <v>15</v>
      </c>
      <c r="C25" s="3" t="s">
        <v>29</v>
      </c>
      <c r="D25" s="3" t="s">
        <v>66</v>
      </c>
      <c r="E25" s="3">
        <v>69.900000000000006</v>
      </c>
    </row>
    <row r="26" spans="1:5" x14ac:dyDescent="0.2">
      <c r="A26" s="5" t="s">
        <v>0</v>
      </c>
      <c r="B26" s="2" t="s">
        <v>15</v>
      </c>
      <c r="C26" s="2" t="s">
        <v>29</v>
      </c>
      <c r="D26" s="2" t="s">
        <v>67</v>
      </c>
      <c r="E26" s="2">
        <v>70.7</v>
      </c>
    </row>
    <row r="27" spans="1:5" x14ac:dyDescent="0.2">
      <c r="A27" s="6" t="s">
        <v>0</v>
      </c>
      <c r="B27" s="3" t="s">
        <v>15</v>
      </c>
      <c r="C27" s="3" t="s">
        <v>29</v>
      </c>
      <c r="D27" s="3" t="s">
        <v>68</v>
      </c>
      <c r="E27" s="3">
        <v>71.900000000000006</v>
      </c>
    </row>
    <row r="28" spans="1:5" x14ac:dyDescent="0.2">
      <c r="A28" s="5" t="s">
        <v>0</v>
      </c>
      <c r="B28" s="2" t="s">
        <v>15</v>
      </c>
      <c r="C28" s="2" t="s">
        <v>29</v>
      </c>
      <c r="D28" s="2" t="s">
        <v>69</v>
      </c>
      <c r="E28" s="2">
        <v>72.099999999999994</v>
      </c>
    </row>
    <row r="29" spans="1:5" x14ac:dyDescent="0.2">
      <c r="A29" s="6" t="s">
        <v>0</v>
      </c>
      <c r="B29" s="3" t="s">
        <v>15</v>
      </c>
      <c r="C29" s="3" t="s">
        <v>29</v>
      </c>
      <c r="D29" s="3" t="s">
        <v>70</v>
      </c>
      <c r="E29" s="3">
        <v>72.7</v>
      </c>
    </row>
    <row r="30" spans="1:5" x14ac:dyDescent="0.2">
      <c r="A30" s="5" t="s">
        <v>0</v>
      </c>
      <c r="B30" s="2" t="s">
        <v>15</v>
      </c>
      <c r="C30" s="2" t="s">
        <v>32</v>
      </c>
      <c r="D30" s="2" t="s">
        <v>64</v>
      </c>
      <c r="E30" s="2">
        <v>76.2</v>
      </c>
    </row>
    <row r="31" spans="1:5" x14ac:dyDescent="0.2">
      <c r="A31" s="6" t="s">
        <v>0</v>
      </c>
      <c r="B31" s="3" t="s">
        <v>15</v>
      </c>
      <c r="C31" s="3" t="s">
        <v>32</v>
      </c>
      <c r="D31" s="3" t="s">
        <v>65</v>
      </c>
      <c r="E31" s="3">
        <v>76.900000000000006</v>
      </c>
    </row>
    <row r="32" spans="1:5" x14ac:dyDescent="0.2">
      <c r="A32" s="5" t="s">
        <v>0</v>
      </c>
      <c r="B32" s="2" t="s">
        <v>15</v>
      </c>
      <c r="C32" s="2" t="s">
        <v>32</v>
      </c>
      <c r="D32" s="2" t="s">
        <v>66</v>
      </c>
      <c r="E32" s="2">
        <v>77.5</v>
      </c>
    </row>
    <row r="33" spans="1:5" x14ac:dyDescent="0.2">
      <c r="A33" s="6" t="s">
        <v>0</v>
      </c>
      <c r="B33" s="3" t="s">
        <v>15</v>
      </c>
      <c r="C33" s="3" t="s">
        <v>32</v>
      </c>
      <c r="D33" s="3" t="s">
        <v>67</v>
      </c>
      <c r="E33" s="3">
        <v>77.5</v>
      </c>
    </row>
    <row r="34" spans="1:5" x14ac:dyDescent="0.2">
      <c r="A34" s="5" t="s">
        <v>0</v>
      </c>
      <c r="B34" s="2" t="s">
        <v>15</v>
      </c>
      <c r="C34" s="2" t="s">
        <v>32</v>
      </c>
      <c r="D34" s="2" t="s">
        <v>68</v>
      </c>
      <c r="E34" s="2">
        <v>77.900000000000006</v>
      </c>
    </row>
    <row r="35" spans="1:5" x14ac:dyDescent="0.2">
      <c r="A35" s="6" t="s">
        <v>0</v>
      </c>
      <c r="B35" s="3" t="s">
        <v>15</v>
      </c>
      <c r="C35" s="3" t="s">
        <v>32</v>
      </c>
      <c r="D35" s="3" t="s">
        <v>69</v>
      </c>
      <c r="E35" s="3">
        <v>78.8</v>
      </c>
    </row>
    <row r="36" spans="1:5" x14ac:dyDescent="0.2">
      <c r="A36" s="5" t="s">
        <v>0</v>
      </c>
      <c r="B36" s="2" t="s">
        <v>15</v>
      </c>
      <c r="C36" s="2" t="s">
        <v>32</v>
      </c>
      <c r="D36" s="2" t="s">
        <v>70</v>
      </c>
      <c r="E36" s="2">
        <v>79.400000000000006</v>
      </c>
    </row>
    <row r="37" spans="1:5" x14ac:dyDescent="0.2">
      <c r="A37" s="6" t="s">
        <v>0</v>
      </c>
      <c r="B37" s="3" t="s">
        <v>15</v>
      </c>
      <c r="C37" s="3" t="s">
        <v>35</v>
      </c>
      <c r="D37" s="3" t="s">
        <v>64</v>
      </c>
      <c r="E37" s="3">
        <v>63.7</v>
      </c>
    </row>
    <row r="38" spans="1:5" x14ac:dyDescent="0.2">
      <c r="A38" s="5" t="s">
        <v>0</v>
      </c>
      <c r="B38" s="2" t="s">
        <v>15</v>
      </c>
      <c r="C38" s="2" t="s">
        <v>35</v>
      </c>
      <c r="D38" s="2" t="s">
        <v>65</v>
      </c>
      <c r="E38" s="2">
        <v>65</v>
      </c>
    </row>
    <row r="39" spans="1:5" x14ac:dyDescent="0.2">
      <c r="A39" s="6" t="s">
        <v>0</v>
      </c>
      <c r="B39" s="3" t="s">
        <v>15</v>
      </c>
      <c r="C39" s="3" t="s">
        <v>35</v>
      </c>
      <c r="D39" s="3" t="s">
        <v>66</v>
      </c>
      <c r="E39" s="3">
        <v>65.599999999999994</v>
      </c>
    </row>
    <row r="40" spans="1:5" x14ac:dyDescent="0.2">
      <c r="A40" s="5" t="s">
        <v>0</v>
      </c>
      <c r="B40" s="2" t="s">
        <v>15</v>
      </c>
      <c r="C40" s="2" t="s">
        <v>35</v>
      </c>
      <c r="D40" s="2" t="s">
        <v>67</v>
      </c>
      <c r="E40" s="2">
        <v>65.599999999999994</v>
      </c>
    </row>
    <row r="41" spans="1:5" x14ac:dyDescent="0.2">
      <c r="A41" s="6" t="s">
        <v>0</v>
      </c>
      <c r="B41" s="3" t="s">
        <v>15</v>
      </c>
      <c r="C41" s="3" t="s">
        <v>35</v>
      </c>
      <c r="D41" s="3" t="s">
        <v>68</v>
      </c>
      <c r="E41" s="3">
        <v>66.599999999999994</v>
      </c>
    </row>
    <row r="42" spans="1:5" x14ac:dyDescent="0.2">
      <c r="A42" s="5" t="s">
        <v>0</v>
      </c>
      <c r="B42" s="2" t="s">
        <v>15</v>
      </c>
      <c r="C42" s="2" t="s">
        <v>35</v>
      </c>
      <c r="D42" s="2" t="s">
        <v>69</v>
      </c>
      <c r="E42" s="2">
        <v>66.900000000000006</v>
      </c>
    </row>
    <row r="43" spans="1:5" x14ac:dyDescent="0.2">
      <c r="A43" s="6" t="s">
        <v>0</v>
      </c>
      <c r="B43" s="3" t="s">
        <v>15</v>
      </c>
      <c r="C43" s="3" t="s">
        <v>35</v>
      </c>
      <c r="D43" s="3" t="s">
        <v>70</v>
      </c>
      <c r="E43" s="3">
        <v>68</v>
      </c>
    </row>
    <row r="44" spans="1:5" x14ac:dyDescent="0.2">
      <c r="A44" s="2" t="s">
        <v>1</v>
      </c>
      <c r="B44" s="2" t="s">
        <v>15</v>
      </c>
      <c r="C44" s="2" t="s">
        <v>18</v>
      </c>
      <c r="D44" s="2" t="s">
        <v>64</v>
      </c>
      <c r="E44" s="2">
        <v>66</v>
      </c>
    </row>
    <row r="45" spans="1:5" x14ac:dyDescent="0.2">
      <c r="A45" s="3" t="s">
        <v>1</v>
      </c>
      <c r="B45" s="3" t="s">
        <v>15</v>
      </c>
      <c r="C45" s="3" t="s">
        <v>18</v>
      </c>
      <c r="D45" s="3" t="s">
        <v>65</v>
      </c>
      <c r="E45" s="3">
        <v>66.400000000000006</v>
      </c>
    </row>
    <row r="46" spans="1:5" x14ac:dyDescent="0.2">
      <c r="A46" s="2" t="s">
        <v>1</v>
      </c>
      <c r="B46" s="2" t="s">
        <v>15</v>
      </c>
      <c r="C46" s="2" t="s">
        <v>18</v>
      </c>
      <c r="D46" s="2" t="s">
        <v>66</v>
      </c>
      <c r="E46" s="2">
        <v>66.900000000000006</v>
      </c>
    </row>
    <row r="47" spans="1:5" x14ac:dyDescent="0.2">
      <c r="A47" s="3" t="s">
        <v>1</v>
      </c>
      <c r="B47" s="3" t="s">
        <v>15</v>
      </c>
      <c r="C47" s="3" t="s">
        <v>18</v>
      </c>
      <c r="D47" s="3" t="s">
        <v>67</v>
      </c>
      <c r="E47" s="3">
        <v>67.900000000000006</v>
      </c>
    </row>
    <row r="48" spans="1:5" x14ac:dyDescent="0.2">
      <c r="A48" s="2" t="s">
        <v>1</v>
      </c>
      <c r="B48" s="2" t="s">
        <v>15</v>
      </c>
      <c r="C48" s="2" t="s">
        <v>18</v>
      </c>
      <c r="D48" s="2" t="s">
        <v>68</v>
      </c>
      <c r="E48" s="2">
        <v>68.2</v>
      </c>
    </row>
    <row r="49" spans="1:5" x14ac:dyDescent="0.2">
      <c r="A49" s="3" t="s">
        <v>1</v>
      </c>
      <c r="B49" s="3" t="s">
        <v>15</v>
      </c>
      <c r="C49" s="3" t="s">
        <v>18</v>
      </c>
      <c r="D49" s="3" t="s">
        <v>69</v>
      </c>
      <c r="E49" s="3">
        <v>69.099999999999994</v>
      </c>
    </row>
    <row r="50" spans="1:5" x14ac:dyDescent="0.2">
      <c r="A50" s="2" t="s">
        <v>1</v>
      </c>
      <c r="B50" s="2" t="s">
        <v>15</v>
      </c>
      <c r="C50" s="2" t="s">
        <v>18</v>
      </c>
      <c r="D50" s="2" t="s">
        <v>70</v>
      </c>
      <c r="E50" s="2">
        <v>70</v>
      </c>
    </row>
    <row r="51" spans="1:5" x14ac:dyDescent="0.2">
      <c r="A51" s="3" t="s">
        <v>1</v>
      </c>
      <c r="B51" s="3" t="s">
        <v>15</v>
      </c>
      <c r="C51" s="3" t="s">
        <v>22</v>
      </c>
      <c r="D51" s="3" t="s">
        <v>64</v>
      </c>
      <c r="E51" s="3">
        <v>67.900000000000006</v>
      </c>
    </row>
    <row r="52" spans="1:5" x14ac:dyDescent="0.2">
      <c r="A52" s="2" t="s">
        <v>1</v>
      </c>
      <c r="B52" s="2" t="s">
        <v>15</v>
      </c>
      <c r="C52" s="2" t="s">
        <v>22</v>
      </c>
      <c r="D52" s="2" t="s">
        <v>65</v>
      </c>
      <c r="E52" s="2">
        <v>68.3</v>
      </c>
    </row>
    <row r="53" spans="1:5" x14ac:dyDescent="0.2">
      <c r="A53" s="3" t="s">
        <v>1</v>
      </c>
      <c r="B53" s="3" t="s">
        <v>15</v>
      </c>
      <c r="C53" s="3" t="s">
        <v>22</v>
      </c>
      <c r="D53" s="3" t="s">
        <v>66</v>
      </c>
      <c r="E53" s="3">
        <v>69.7</v>
      </c>
    </row>
    <row r="54" spans="1:5" x14ac:dyDescent="0.2">
      <c r="A54" s="2" t="s">
        <v>1</v>
      </c>
      <c r="B54" s="2" t="s">
        <v>15</v>
      </c>
      <c r="C54" s="2" t="s">
        <v>22</v>
      </c>
      <c r="D54" s="2" t="s">
        <v>67</v>
      </c>
      <c r="E54" s="2">
        <v>69.8</v>
      </c>
    </row>
    <row r="55" spans="1:5" x14ac:dyDescent="0.2">
      <c r="A55" s="3" t="s">
        <v>1</v>
      </c>
      <c r="B55" s="3" t="s">
        <v>15</v>
      </c>
      <c r="C55" s="3" t="s">
        <v>22</v>
      </c>
      <c r="D55" s="3" t="s">
        <v>68</v>
      </c>
      <c r="E55" s="3">
        <v>70</v>
      </c>
    </row>
    <row r="56" spans="1:5" x14ac:dyDescent="0.2">
      <c r="A56" s="2" t="s">
        <v>1</v>
      </c>
      <c r="B56" s="2" t="s">
        <v>15</v>
      </c>
      <c r="C56" s="2" t="s">
        <v>22</v>
      </c>
      <c r="D56" s="2" t="s">
        <v>69</v>
      </c>
      <c r="E56" s="2">
        <v>70.5</v>
      </c>
    </row>
    <row r="57" spans="1:5" x14ac:dyDescent="0.2">
      <c r="A57" s="3" t="s">
        <v>1</v>
      </c>
      <c r="B57" s="3" t="s">
        <v>15</v>
      </c>
      <c r="C57" s="3" t="s">
        <v>22</v>
      </c>
      <c r="D57" s="3" t="s">
        <v>70</v>
      </c>
      <c r="E57" s="3">
        <v>71.2</v>
      </c>
    </row>
    <row r="58" spans="1:5" x14ac:dyDescent="0.2">
      <c r="A58" s="2" t="s">
        <v>1</v>
      </c>
      <c r="B58" s="2" t="s">
        <v>15</v>
      </c>
      <c r="C58" s="2" t="s">
        <v>26</v>
      </c>
      <c r="D58" s="2" t="s">
        <v>64</v>
      </c>
      <c r="E58" s="2">
        <v>72.099999999999994</v>
      </c>
    </row>
    <row r="59" spans="1:5" x14ac:dyDescent="0.2">
      <c r="A59" s="3" t="s">
        <v>1</v>
      </c>
      <c r="B59" s="3" t="s">
        <v>15</v>
      </c>
      <c r="C59" s="3" t="s">
        <v>26</v>
      </c>
      <c r="D59" s="3" t="s">
        <v>65</v>
      </c>
      <c r="E59" s="3">
        <v>72.900000000000006</v>
      </c>
    </row>
    <row r="60" spans="1:5" x14ac:dyDescent="0.2">
      <c r="A60" s="2" t="s">
        <v>1</v>
      </c>
      <c r="B60" s="2" t="s">
        <v>15</v>
      </c>
      <c r="C60" s="2" t="s">
        <v>26</v>
      </c>
      <c r="D60" s="2" t="s">
        <v>66</v>
      </c>
      <c r="E60" s="2">
        <v>73.099999999999994</v>
      </c>
    </row>
    <row r="61" spans="1:5" x14ac:dyDescent="0.2">
      <c r="A61" s="3" t="s">
        <v>1</v>
      </c>
      <c r="B61" s="3" t="s">
        <v>15</v>
      </c>
      <c r="C61" s="3" t="s">
        <v>26</v>
      </c>
      <c r="D61" s="3" t="s">
        <v>67</v>
      </c>
      <c r="E61" s="3">
        <v>73.400000000000006</v>
      </c>
    </row>
    <row r="62" spans="1:5" x14ac:dyDescent="0.2">
      <c r="A62" s="2" t="s">
        <v>1</v>
      </c>
      <c r="B62" s="2" t="s">
        <v>15</v>
      </c>
      <c r="C62" s="2" t="s">
        <v>26</v>
      </c>
      <c r="D62" s="2" t="s">
        <v>68</v>
      </c>
      <c r="E62" s="2">
        <v>74.3</v>
      </c>
    </row>
    <row r="63" spans="1:5" x14ac:dyDescent="0.2">
      <c r="A63" s="3" t="s">
        <v>1</v>
      </c>
      <c r="B63" s="3" t="s">
        <v>15</v>
      </c>
      <c r="C63" s="3" t="s">
        <v>26</v>
      </c>
      <c r="D63" s="3" t="s">
        <v>69</v>
      </c>
      <c r="E63" s="3">
        <v>75.5</v>
      </c>
    </row>
    <row r="64" spans="1:5" x14ac:dyDescent="0.2">
      <c r="A64" s="2" t="s">
        <v>1</v>
      </c>
      <c r="B64" s="2" t="s">
        <v>15</v>
      </c>
      <c r="C64" s="2" t="s">
        <v>26</v>
      </c>
      <c r="D64" s="2" t="s">
        <v>70</v>
      </c>
      <c r="E64" s="2">
        <v>75.599999999999994</v>
      </c>
    </row>
    <row r="65" spans="1:5" x14ac:dyDescent="0.2">
      <c r="A65" s="3" t="s">
        <v>1</v>
      </c>
      <c r="B65" s="3" t="s">
        <v>15</v>
      </c>
      <c r="C65" s="3" t="s">
        <v>29</v>
      </c>
      <c r="D65" s="3" t="s">
        <v>64</v>
      </c>
      <c r="E65" s="3">
        <v>64.5</v>
      </c>
    </row>
    <row r="66" spans="1:5" x14ac:dyDescent="0.2">
      <c r="A66" s="2" t="s">
        <v>1</v>
      </c>
      <c r="B66" s="2" t="s">
        <v>15</v>
      </c>
      <c r="C66" s="2" t="s">
        <v>29</v>
      </c>
      <c r="D66" s="2" t="s">
        <v>65</v>
      </c>
      <c r="E66" s="2">
        <v>65</v>
      </c>
    </row>
    <row r="67" spans="1:5" x14ac:dyDescent="0.2">
      <c r="A67" s="3" t="s">
        <v>1</v>
      </c>
      <c r="B67" s="3" t="s">
        <v>15</v>
      </c>
      <c r="C67" s="3" t="s">
        <v>29</v>
      </c>
      <c r="D67" s="3" t="s">
        <v>66</v>
      </c>
      <c r="E67" s="3">
        <v>64.7</v>
      </c>
    </row>
    <row r="68" spans="1:5" x14ac:dyDescent="0.2">
      <c r="A68" s="2" t="s">
        <v>1</v>
      </c>
      <c r="B68" s="2" t="s">
        <v>15</v>
      </c>
      <c r="C68" s="2" t="s">
        <v>29</v>
      </c>
      <c r="D68" s="2" t="s">
        <v>67</v>
      </c>
      <c r="E68" s="2">
        <v>66</v>
      </c>
    </row>
    <row r="69" spans="1:5" x14ac:dyDescent="0.2">
      <c r="A69" s="3" t="s">
        <v>1</v>
      </c>
      <c r="B69" s="3" t="s">
        <v>15</v>
      </c>
      <c r="C69" s="3" t="s">
        <v>29</v>
      </c>
      <c r="D69" s="3" t="s">
        <v>68</v>
      </c>
      <c r="E69" s="3">
        <v>66.599999999999994</v>
      </c>
    </row>
    <row r="70" spans="1:5" x14ac:dyDescent="0.2">
      <c r="A70" s="2" t="s">
        <v>1</v>
      </c>
      <c r="B70" s="2" t="s">
        <v>15</v>
      </c>
      <c r="C70" s="2" t="s">
        <v>29</v>
      </c>
      <c r="D70" s="2" t="s">
        <v>69</v>
      </c>
      <c r="E70" s="2">
        <v>67</v>
      </c>
    </row>
    <row r="71" spans="1:5" x14ac:dyDescent="0.2">
      <c r="A71" s="3" t="s">
        <v>1</v>
      </c>
      <c r="B71" s="3" t="s">
        <v>15</v>
      </c>
      <c r="C71" s="3" t="s">
        <v>29</v>
      </c>
      <c r="D71" s="3" t="s">
        <v>70</v>
      </c>
      <c r="E71" s="3">
        <v>67.400000000000006</v>
      </c>
    </row>
    <row r="72" spans="1:5" x14ac:dyDescent="0.2">
      <c r="A72" s="2" t="s">
        <v>1</v>
      </c>
      <c r="B72" s="2" t="s">
        <v>15</v>
      </c>
      <c r="C72" s="2" t="s">
        <v>32</v>
      </c>
      <c r="D72" s="2" t="s">
        <v>64</v>
      </c>
      <c r="E72" s="2">
        <v>70.099999999999994</v>
      </c>
    </row>
    <row r="73" spans="1:5" x14ac:dyDescent="0.2">
      <c r="A73" s="3" t="s">
        <v>1</v>
      </c>
      <c r="B73" s="3" t="s">
        <v>15</v>
      </c>
      <c r="C73" s="3" t="s">
        <v>32</v>
      </c>
      <c r="D73" s="3" t="s">
        <v>65</v>
      </c>
      <c r="E73" s="3">
        <v>70.2</v>
      </c>
    </row>
    <row r="74" spans="1:5" x14ac:dyDescent="0.2">
      <c r="A74" s="2" t="s">
        <v>1</v>
      </c>
      <c r="B74" s="2" t="s">
        <v>15</v>
      </c>
      <c r="C74" s="2" t="s">
        <v>32</v>
      </c>
      <c r="D74" s="2" t="s">
        <v>66</v>
      </c>
      <c r="E74" s="2">
        <v>71.099999999999994</v>
      </c>
    </row>
    <row r="75" spans="1:5" x14ac:dyDescent="0.2">
      <c r="A75" s="3" t="s">
        <v>1</v>
      </c>
      <c r="B75" s="3" t="s">
        <v>15</v>
      </c>
      <c r="C75" s="3" t="s">
        <v>32</v>
      </c>
      <c r="D75" s="3" t="s">
        <v>67</v>
      </c>
      <c r="E75" s="3">
        <v>71.8</v>
      </c>
    </row>
    <row r="76" spans="1:5" x14ac:dyDescent="0.2">
      <c r="A76" s="2" t="s">
        <v>1</v>
      </c>
      <c r="B76" s="2" t="s">
        <v>15</v>
      </c>
      <c r="C76" s="2" t="s">
        <v>32</v>
      </c>
      <c r="D76" s="2" t="s">
        <v>68</v>
      </c>
      <c r="E76" s="2">
        <v>72.900000000000006</v>
      </c>
    </row>
    <row r="77" spans="1:5" x14ac:dyDescent="0.2">
      <c r="A77" s="3" t="s">
        <v>1</v>
      </c>
      <c r="B77" s="3" t="s">
        <v>15</v>
      </c>
      <c r="C77" s="3" t="s">
        <v>32</v>
      </c>
      <c r="D77" s="3" t="s">
        <v>69</v>
      </c>
      <c r="E77" s="3">
        <v>73.400000000000006</v>
      </c>
    </row>
    <row r="78" spans="1:5" x14ac:dyDescent="0.2">
      <c r="A78" s="2" t="s">
        <v>1</v>
      </c>
      <c r="B78" s="2" t="s">
        <v>15</v>
      </c>
      <c r="C78" s="2" t="s">
        <v>32</v>
      </c>
      <c r="D78" s="2" t="s">
        <v>70</v>
      </c>
      <c r="E78" s="2">
        <v>73.400000000000006</v>
      </c>
    </row>
    <row r="79" spans="1:5" x14ac:dyDescent="0.2">
      <c r="A79" s="3" t="s">
        <v>1</v>
      </c>
      <c r="B79" s="3" t="s">
        <v>15</v>
      </c>
      <c r="C79" s="3" t="s">
        <v>35</v>
      </c>
      <c r="D79" s="3" t="s">
        <v>64</v>
      </c>
      <c r="E79" s="3">
        <v>58</v>
      </c>
    </row>
    <row r="80" spans="1:5" x14ac:dyDescent="0.2">
      <c r="A80" s="2" t="s">
        <v>1</v>
      </c>
      <c r="B80" s="2" t="s">
        <v>15</v>
      </c>
      <c r="C80" s="2" t="s">
        <v>35</v>
      </c>
      <c r="D80" s="2" t="s">
        <v>65</v>
      </c>
      <c r="E80" s="2">
        <v>58.3</v>
      </c>
    </row>
    <row r="81" spans="1:5" x14ac:dyDescent="0.2">
      <c r="A81" s="3" t="s">
        <v>1</v>
      </c>
      <c r="B81" s="3" t="s">
        <v>15</v>
      </c>
      <c r="C81" s="3" t="s">
        <v>35</v>
      </c>
      <c r="D81" s="3" t="s">
        <v>66</v>
      </c>
      <c r="E81" s="3">
        <v>59.6</v>
      </c>
    </row>
    <row r="82" spans="1:5" x14ac:dyDescent="0.2">
      <c r="A82" s="2" t="s">
        <v>1</v>
      </c>
      <c r="B82" s="2" t="s">
        <v>15</v>
      </c>
      <c r="C82" s="2" t="s">
        <v>35</v>
      </c>
      <c r="D82" s="2" t="s">
        <v>67</v>
      </c>
      <c r="E82" s="2">
        <v>60.2</v>
      </c>
    </row>
    <row r="83" spans="1:5" x14ac:dyDescent="0.2">
      <c r="A83" s="3" t="s">
        <v>1</v>
      </c>
      <c r="B83" s="3" t="s">
        <v>15</v>
      </c>
      <c r="C83" s="3" t="s">
        <v>35</v>
      </c>
      <c r="D83" s="3" t="s">
        <v>68</v>
      </c>
      <c r="E83" s="3">
        <v>60.2</v>
      </c>
    </row>
    <row r="84" spans="1:5" x14ac:dyDescent="0.2">
      <c r="A84" s="2" t="s">
        <v>1</v>
      </c>
      <c r="B84" s="2" t="s">
        <v>15</v>
      </c>
      <c r="C84" s="2" t="s">
        <v>35</v>
      </c>
      <c r="D84" s="2" t="s">
        <v>69</v>
      </c>
      <c r="E84" s="2">
        <v>61.1</v>
      </c>
    </row>
    <row r="85" spans="1:5" x14ac:dyDescent="0.2">
      <c r="A85" s="3" t="s">
        <v>1</v>
      </c>
      <c r="B85" s="3" t="s">
        <v>15</v>
      </c>
      <c r="C85" s="3" t="s">
        <v>35</v>
      </c>
      <c r="D85" s="3" t="s">
        <v>70</v>
      </c>
      <c r="E85" s="3">
        <v>61.7</v>
      </c>
    </row>
    <row r="86" spans="1:5" x14ac:dyDescent="0.2">
      <c r="A86" s="2" t="s">
        <v>2</v>
      </c>
      <c r="B86" s="2" t="s">
        <v>15</v>
      </c>
      <c r="C86" s="2" t="s">
        <v>18</v>
      </c>
      <c r="D86" s="2" t="s">
        <v>64</v>
      </c>
      <c r="E86" s="2">
        <v>72.7</v>
      </c>
    </row>
    <row r="87" spans="1:5" x14ac:dyDescent="0.2">
      <c r="A87" s="3" t="s">
        <v>2</v>
      </c>
      <c r="B87" s="3" t="s">
        <v>15</v>
      </c>
      <c r="C87" s="3" t="s">
        <v>18</v>
      </c>
      <c r="D87" s="3" t="s">
        <v>65</v>
      </c>
      <c r="E87" s="3">
        <v>73.900000000000006</v>
      </c>
    </row>
    <row r="88" spans="1:5" x14ac:dyDescent="0.2">
      <c r="A88" s="2" t="s">
        <v>2</v>
      </c>
      <c r="B88" s="2" t="s">
        <v>15</v>
      </c>
      <c r="C88" s="2" t="s">
        <v>18</v>
      </c>
      <c r="D88" s="2" t="s">
        <v>66</v>
      </c>
      <c r="E88" s="2">
        <v>74.2</v>
      </c>
    </row>
    <row r="89" spans="1:5" x14ac:dyDescent="0.2">
      <c r="A89" s="3" t="s">
        <v>2</v>
      </c>
      <c r="B89" s="3" t="s">
        <v>15</v>
      </c>
      <c r="C89" s="3" t="s">
        <v>18</v>
      </c>
      <c r="D89" s="3" t="s">
        <v>67</v>
      </c>
      <c r="E89" s="3">
        <v>75.099999999999994</v>
      </c>
    </row>
    <row r="90" spans="1:5" x14ac:dyDescent="0.2">
      <c r="A90" s="2" t="s">
        <v>2</v>
      </c>
      <c r="B90" s="2" t="s">
        <v>15</v>
      </c>
      <c r="C90" s="2" t="s">
        <v>18</v>
      </c>
      <c r="D90" s="2" t="s">
        <v>68</v>
      </c>
      <c r="E90" s="2">
        <v>75.400000000000006</v>
      </c>
    </row>
    <row r="91" spans="1:5" x14ac:dyDescent="0.2">
      <c r="A91" s="3" t="s">
        <v>2</v>
      </c>
      <c r="B91" s="3" t="s">
        <v>15</v>
      </c>
      <c r="C91" s="3" t="s">
        <v>18</v>
      </c>
      <c r="D91" s="3" t="s">
        <v>69</v>
      </c>
      <c r="E91" s="3">
        <v>75.5</v>
      </c>
    </row>
    <row r="92" spans="1:5" x14ac:dyDescent="0.2">
      <c r="A92" s="2" t="s">
        <v>2</v>
      </c>
      <c r="B92" s="2" t="s">
        <v>15</v>
      </c>
      <c r="C92" s="2" t="s">
        <v>18</v>
      </c>
      <c r="D92" s="2" t="s">
        <v>70</v>
      </c>
      <c r="E92" s="2">
        <v>76.400000000000006</v>
      </c>
    </row>
    <row r="93" spans="1:5" x14ac:dyDescent="0.2">
      <c r="A93" s="3" t="s">
        <v>2</v>
      </c>
      <c r="B93" s="3" t="s">
        <v>15</v>
      </c>
      <c r="C93" s="3" t="s">
        <v>22</v>
      </c>
      <c r="D93" s="3" t="s">
        <v>64</v>
      </c>
      <c r="E93" s="3">
        <v>73.5</v>
      </c>
    </row>
    <row r="94" spans="1:5" x14ac:dyDescent="0.2">
      <c r="A94" s="2" t="s">
        <v>2</v>
      </c>
      <c r="B94" s="2" t="s">
        <v>15</v>
      </c>
      <c r="C94" s="2" t="s">
        <v>22</v>
      </c>
      <c r="D94" s="2" t="s">
        <v>65</v>
      </c>
      <c r="E94" s="2">
        <v>75</v>
      </c>
    </row>
    <row r="95" spans="1:5" x14ac:dyDescent="0.2">
      <c r="A95" s="3" t="s">
        <v>2</v>
      </c>
      <c r="B95" s="3" t="s">
        <v>15</v>
      </c>
      <c r="C95" s="3" t="s">
        <v>22</v>
      </c>
      <c r="D95" s="3" t="s">
        <v>66</v>
      </c>
      <c r="E95" s="3">
        <v>75.599999999999994</v>
      </c>
    </row>
    <row r="96" spans="1:5" x14ac:dyDescent="0.2">
      <c r="A96" s="2" t="s">
        <v>2</v>
      </c>
      <c r="B96" s="2" t="s">
        <v>15</v>
      </c>
      <c r="C96" s="2" t="s">
        <v>22</v>
      </c>
      <c r="D96" s="2" t="s">
        <v>67</v>
      </c>
      <c r="E96" s="2">
        <v>76.099999999999994</v>
      </c>
    </row>
    <row r="97" spans="1:5" x14ac:dyDescent="0.2">
      <c r="A97" s="3" t="s">
        <v>2</v>
      </c>
      <c r="B97" s="3" t="s">
        <v>15</v>
      </c>
      <c r="C97" s="3" t="s">
        <v>22</v>
      </c>
      <c r="D97" s="3" t="s">
        <v>68</v>
      </c>
      <c r="E97" s="3">
        <v>76.2</v>
      </c>
    </row>
    <row r="98" spans="1:5" x14ac:dyDescent="0.2">
      <c r="A98" s="2" t="s">
        <v>2</v>
      </c>
      <c r="B98" s="2" t="s">
        <v>15</v>
      </c>
      <c r="C98" s="2" t="s">
        <v>22</v>
      </c>
      <c r="D98" s="2" t="s">
        <v>69</v>
      </c>
      <c r="E98" s="2">
        <v>76.599999999999994</v>
      </c>
    </row>
    <row r="99" spans="1:5" x14ac:dyDescent="0.2">
      <c r="A99" s="3" t="s">
        <v>2</v>
      </c>
      <c r="B99" s="3" t="s">
        <v>15</v>
      </c>
      <c r="C99" s="3" t="s">
        <v>22</v>
      </c>
      <c r="D99" s="3" t="s">
        <v>70</v>
      </c>
      <c r="E99" s="3">
        <v>78</v>
      </c>
    </row>
    <row r="100" spans="1:5" x14ac:dyDescent="0.2">
      <c r="A100" s="2" t="s">
        <v>2</v>
      </c>
      <c r="B100" s="2" t="s">
        <v>15</v>
      </c>
      <c r="C100" s="2" t="s">
        <v>26</v>
      </c>
      <c r="D100" s="2" t="s">
        <v>64</v>
      </c>
      <c r="E100" s="2">
        <v>78.400000000000006</v>
      </c>
    </row>
    <row r="101" spans="1:5" x14ac:dyDescent="0.2">
      <c r="A101" s="3" t="s">
        <v>2</v>
      </c>
      <c r="B101" s="3" t="s">
        <v>15</v>
      </c>
      <c r="C101" s="3" t="s">
        <v>26</v>
      </c>
      <c r="D101" s="3" t="s">
        <v>65</v>
      </c>
      <c r="E101" s="3">
        <v>78.2</v>
      </c>
    </row>
    <row r="102" spans="1:5" x14ac:dyDescent="0.2">
      <c r="A102" s="2" t="s">
        <v>2</v>
      </c>
      <c r="B102" s="2" t="s">
        <v>15</v>
      </c>
      <c r="C102" s="2" t="s">
        <v>26</v>
      </c>
      <c r="D102" s="2" t="s">
        <v>66</v>
      </c>
      <c r="E102" s="2">
        <v>79.2</v>
      </c>
    </row>
    <row r="103" spans="1:5" x14ac:dyDescent="0.2">
      <c r="A103" s="3" t="s">
        <v>2</v>
      </c>
      <c r="B103" s="3" t="s">
        <v>15</v>
      </c>
      <c r="C103" s="3" t="s">
        <v>26</v>
      </c>
      <c r="D103" s="3" t="s">
        <v>67</v>
      </c>
      <c r="E103" s="3">
        <v>79.400000000000006</v>
      </c>
    </row>
    <row r="104" spans="1:5" x14ac:dyDescent="0.2">
      <c r="A104" s="2" t="s">
        <v>2</v>
      </c>
      <c r="B104" s="2" t="s">
        <v>15</v>
      </c>
      <c r="C104" s="2" t="s">
        <v>26</v>
      </c>
      <c r="D104" s="2" t="s">
        <v>68</v>
      </c>
      <c r="E104" s="2">
        <v>80.7</v>
      </c>
    </row>
    <row r="105" spans="1:5" x14ac:dyDescent="0.2">
      <c r="A105" s="3" t="s">
        <v>2</v>
      </c>
      <c r="B105" s="3" t="s">
        <v>15</v>
      </c>
      <c r="C105" s="3" t="s">
        <v>26</v>
      </c>
      <c r="D105" s="3" t="s">
        <v>69</v>
      </c>
      <c r="E105" s="3">
        <v>81.3</v>
      </c>
    </row>
    <row r="106" spans="1:5" x14ac:dyDescent="0.2">
      <c r="A106" s="2" t="s">
        <v>2</v>
      </c>
      <c r="B106" s="2" t="s">
        <v>15</v>
      </c>
      <c r="C106" s="2" t="s">
        <v>26</v>
      </c>
      <c r="D106" s="2" t="s">
        <v>70</v>
      </c>
      <c r="E106" s="2">
        <v>81.2</v>
      </c>
    </row>
    <row r="107" spans="1:5" x14ac:dyDescent="0.2">
      <c r="A107" s="3" t="s">
        <v>2</v>
      </c>
      <c r="B107" s="3" t="s">
        <v>15</v>
      </c>
      <c r="C107" s="3" t="s">
        <v>29</v>
      </c>
      <c r="D107" s="3" t="s">
        <v>64</v>
      </c>
      <c r="E107" s="3">
        <v>66</v>
      </c>
    </row>
    <row r="108" spans="1:5" x14ac:dyDescent="0.2">
      <c r="A108" s="2" t="s">
        <v>2</v>
      </c>
      <c r="B108" s="2" t="s">
        <v>15</v>
      </c>
      <c r="C108" s="2" t="s">
        <v>29</v>
      </c>
      <c r="D108" s="2" t="s">
        <v>65</v>
      </c>
      <c r="E108" s="2">
        <v>66.599999999999994</v>
      </c>
    </row>
    <row r="109" spans="1:5" x14ac:dyDescent="0.2">
      <c r="A109" s="3" t="s">
        <v>2</v>
      </c>
      <c r="B109" s="3" t="s">
        <v>15</v>
      </c>
      <c r="C109" s="3" t="s">
        <v>29</v>
      </c>
      <c r="D109" s="3" t="s">
        <v>66</v>
      </c>
      <c r="E109" s="3">
        <v>67</v>
      </c>
    </row>
    <row r="110" spans="1:5" x14ac:dyDescent="0.2">
      <c r="A110" s="2" t="s">
        <v>2</v>
      </c>
      <c r="B110" s="2" t="s">
        <v>15</v>
      </c>
      <c r="C110" s="2" t="s">
        <v>29</v>
      </c>
      <c r="D110" s="2" t="s">
        <v>67</v>
      </c>
      <c r="E110" s="2">
        <v>68.2</v>
      </c>
    </row>
    <row r="111" spans="1:5" x14ac:dyDescent="0.2">
      <c r="A111" s="3" t="s">
        <v>2</v>
      </c>
      <c r="B111" s="3" t="s">
        <v>15</v>
      </c>
      <c r="C111" s="3" t="s">
        <v>29</v>
      </c>
      <c r="D111" s="3" t="s">
        <v>68</v>
      </c>
      <c r="E111" s="3">
        <v>68.3</v>
      </c>
    </row>
    <row r="112" spans="1:5" x14ac:dyDescent="0.2">
      <c r="A112" s="2" t="s">
        <v>2</v>
      </c>
      <c r="B112" s="2" t="s">
        <v>15</v>
      </c>
      <c r="C112" s="2" t="s">
        <v>29</v>
      </c>
      <c r="D112" s="2" t="s">
        <v>69</v>
      </c>
      <c r="E112" s="2">
        <v>68.7</v>
      </c>
    </row>
    <row r="113" spans="1:5" x14ac:dyDescent="0.2">
      <c r="A113" s="3" t="s">
        <v>2</v>
      </c>
      <c r="B113" s="3" t="s">
        <v>15</v>
      </c>
      <c r="C113" s="3" t="s">
        <v>29</v>
      </c>
      <c r="D113" s="3" t="s">
        <v>70</v>
      </c>
      <c r="E113" s="3">
        <v>69.599999999999994</v>
      </c>
    </row>
    <row r="114" spans="1:5" x14ac:dyDescent="0.2">
      <c r="A114" s="2" t="s">
        <v>2</v>
      </c>
      <c r="B114" s="2" t="s">
        <v>15</v>
      </c>
      <c r="C114" s="2" t="s">
        <v>32</v>
      </c>
      <c r="D114" s="2" t="s">
        <v>64</v>
      </c>
      <c r="E114" s="2">
        <v>75.2</v>
      </c>
    </row>
    <row r="115" spans="1:5" x14ac:dyDescent="0.2">
      <c r="A115" s="3" t="s">
        <v>2</v>
      </c>
      <c r="B115" s="3" t="s">
        <v>15</v>
      </c>
      <c r="C115" s="3" t="s">
        <v>32</v>
      </c>
      <c r="D115" s="3" t="s">
        <v>65</v>
      </c>
      <c r="E115" s="3">
        <v>75.3</v>
      </c>
    </row>
    <row r="116" spans="1:5" x14ac:dyDescent="0.2">
      <c r="A116" s="2" t="s">
        <v>2</v>
      </c>
      <c r="B116" s="2" t="s">
        <v>15</v>
      </c>
      <c r="C116" s="2" t="s">
        <v>32</v>
      </c>
      <c r="D116" s="2" t="s">
        <v>66</v>
      </c>
      <c r="E116" s="2">
        <v>76</v>
      </c>
    </row>
    <row r="117" spans="1:5" x14ac:dyDescent="0.2">
      <c r="A117" s="3" t="s">
        <v>2</v>
      </c>
      <c r="B117" s="3" t="s">
        <v>15</v>
      </c>
      <c r="C117" s="3" t="s">
        <v>32</v>
      </c>
      <c r="D117" s="3" t="s">
        <v>67</v>
      </c>
      <c r="E117" s="3">
        <v>77.3</v>
      </c>
    </row>
    <row r="118" spans="1:5" x14ac:dyDescent="0.2">
      <c r="A118" s="2" t="s">
        <v>2</v>
      </c>
      <c r="B118" s="2" t="s">
        <v>15</v>
      </c>
      <c r="C118" s="2" t="s">
        <v>32</v>
      </c>
      <c r="D118" s="2" t="s">
        <v>68</v>
      </c>
      <c r="E118" s="2">
        <v>77.5</v>
      </c>
    </row>
    <row r="119" spans="1:5" x14ac:dyDescent="0.2">
      <c r="A119" s="3" t="s">
        <v>2</v>
      </c>
      <c r="B119" s="3" t="s">
        <v>15</v>
      </c>
      <c r="C119" s="3" t="s">
        <v>32</v>
      </c>
      <c r="D119" s="3" t="s">
        <v>69</v>
      </c>
      <c r="E119" s="3">
        <v>77.900000000000006</v>
      </c>
    </row>
    <row r="120" spans="1:5" x14ac:dyDescent="0.2">
      <c r="A120" s="2" t="s">
        <v>2</v>
      </c>
      <c r="B120" s="2" t="s">
        <v>15</v>
      </c>
      <c r="C120" s="2" t="s">
        <v>32</v>
      </c>
      <c r="D120" s="2" t="s">
        <v>70</v>
      </c>
      <c r="E120" s="2">
        <v>78.599999999999994</v>
      </c>
    </row>
    <row r="121" spans="1:5" x14ac:dyDescent="0.2">
      <c r="A121" s="3" t="s">
        <v>2</v>
      </c>
      <c r="B121" s="3" t="s">
        <v>15</v>
      </c>
      <c r="C121" s="3" t="s">
        <v>35</v>
      </c>
      <c r="D121" s="3" t="s">
        <v>64</v>
      </c>
      <c r="E121" s="3">
        <v>61.6</v>
      </c>
    </row>
    <row r="122" spans="1:5" x14ac:dyDescent="0.2">
      <c r="A122" s="2" t="s">
        <v>2</v>
      </c>
      <c r="B122" s="2" t="s">
        <v>15</v>
      </c>
      <c r="C122" s="2" t="s">
        <v>35</v>
      </c>
      <c r="D122" s="2" t="s">
        <v>65</v>
      </c>
      <c r="E122" s="2">
        <v>62.3</v>
      </c>
    </row>
    <row r="123" spans="1:5" x14ac:dyDescent="0.2">
      <c r="A123" s="3" t="s">
        <v>2</v>
      </c>
      <c r="B123" s="3" t="s">
        <v>15</v>
      </c>
      <c r="C123" s="3" t="s">
        <v>35</v>
      </c>
      <c r="D123" s="3" t="s">
        <v>66</v>
      </c>
      <c r="E123" s="3">
        <v>63</v>
      </c>
    </row>
    <row r="124" spans="1:5" x14ac:dyDescent="0.2">
      <c r="A124" s="2" t="s">
        <v>2</v>
      </c>
      <c r="B124" s="2" t="s">
        <v>15</v>
      </c>
      <c r="C124" s="2" t="s">
        <v>35</v>
      </c>
      <c r="D124" s="2" t="s">
        <v>67</v>
      </c>
      <c r="E124" s="2">
        <v>63.9</v>
      </c>
    </row>
    <row r="125" spans="1:5" x14ac:dyDescent="0.2">
      <c r="A125" s="3" t="s">
        <v>2</v>
      </c>
      <c r="B125" s="3" t="s">
        <v>15</v>
      </c>
      <c r="C125" s="3" t="s">
        <v>35</v>
      </c>
      <c r="D125" s="3" t="s">
        <v>68</v>
      </c>
      <c r="E125" s="3">
        <v>64.099999999999994</v>
      </c>
    </row>
    <row r="126" spans="1:5" x14ac:dyDescent="0.2">
      <c r="A126" s="2" t="s">
        <v>2</v>
      </c>
      <c r="B126" s="2" t="s">
        <v>15</v>
      </c>
      <c r="C126" s="2" t="s">
        <v>35</v>
      </c>
      <c r="D126" s="2" t="s">
        <v>69</v>
      </c>
      <c r="E126" s="2">
        <v>64.7</v>
      </c>
    </row>
    <row r="127" spans="1:5" x14ac:dyDescent="0.2">
      <c r="A127" s="3" t="s">
        <v>2</v>
      </c>
      <c r="B127" s="3" t="s">
        <v>15</v>
      </c>
      <c r="C127" s="3" t="s">
        <v>35</v>
      </c>
      <c r="D127" s="3" t="s">
        <v>70</v>
      </c>
      <c r="E127" s="3">
        <v>65.2</v>
      </c>
    </row>
    <row r="128" spans="1:5" x14ac:dyDescent="0.2">
      <c r="A128" s="2" t="s">
        <v>3</v>
      </c>
      <c r="B128" s="2" t="s">
        <v>15</v>
      </c>
      <c r="C128" s="2" t="s">
        <v>18</v>
      </c>
      <c r="D128" s="2" t="s">
        <v>64</v>
      </c>
      <c r="E128" s="2">
        <v>76.099999999999994</v>
      </c>
    </row>
    <row r="129" spans="1:5" x14ac:dyDescent="0.2">
      <c r="A129" s="3" t="s">
        <v>3</v>
      </c>
      <c r="B129" s="3" t="s">
        <v>15</v>
      </c>
      <c r="C129" s="3" t="s">
        <v>18</v>
      </c>
      <c r="D129" s="3" t="s">
        <v>65</v>
      </c>
      <c r="E129" s="3">
        <v>76.3</v>
      </c>
    </row>
    <row r="130" spans="1:5" x14ac:dyDescent="0.2">
      <c r="A130" s="2" t="s">
        <v>3</v>
      </c>
      <c r="B130" s="2" t="s">
        <v>15</v>
      </c>
      <c r="C130" s="2" t="s">
        <v>18</v>
      </c>
      <c r="D130" s="2" t="s">
        <v>66</v>
      </c>
      <c r="E130" s="2">
        <v>77.599999999999994</v>
      </c>
    </row>
    <row r="131" spans="1:5" x14ac:dyDescent="0.2">
      <c r="A131" s="3" t="s">
        <v>3</v>
      </c>
      <c r="B131" s="3" t="s">
        <v>15</v>
      </c>
      <c r="C131" s="3" t="s">
        <v>18</v>
      </c>
      <c r="D131" s="3" t="s">
        <v>67</v>
      </c>
      <c r="E131" s="3">
        <v>78.2</v>
      </c>
    </row>
    <row r="132" spans="1:5" x14ac:dyDescent="0.2">
      <c r="A132" s="2" t="s">
        <v>3</v>
      </c>
      <c r="B132" s="2" t="s">
        <v>15</v>
      </c>
      <c r="C132" s="2" t="s">
        <v>18</v>
      </c>
      <c r="D132" s="2" t="s">
        <v>68</v>
      </c>
      <c r="E132" s="2">
        <v>78</v>
      </c>
    </row>
    <row r="133" spans="1:5" x14ac:dyDescent="0.2">
      <c r="A133" s="3" t="s">
        <v>3</v>
      </c>
      <c r="B133" s="3" t="s">
        <v>15</v>
      </c>
      <c r="C133" s="3" t="s">
        <v>18</v>
      </c>
      <c r="D133" s="3" t="s">
        <v>69</v>
      </c>
      <c r="E133" s="3">
        <v>78.7</v>
      </c>
    </row>
    <row r="134" spans="1:5" x14ac:dyDescent="0.2">
      <c r="A134" s="2" t="s">
        <v>3</v>
      </c>
      <c r="B134" s="2" t="s">
        <v>15</v>
      </c>
      <c r="C134" s="2" t="s">
        <v>18</v>
      </c>
      <c r="D134" s="2" t="s">
        <v>70</v>
      </c>
      <c r="E134" s="2">
        <v>79.8</v>
      </c>
    </row>
    <row r="135" spans="1:5" x14ac:dyDescent="0.2">
      <c r="A135" s="3" t="s">
        <v>3</v>
      </c>
      <c r="B135" s="3" t="s">
        <v>15</v>
      </c>
      <c r="C135" s="3" t="s">
        <v>22</v>
      </c>
      <c r="D135" s="3" t="s">
        <v>64</v>
      </c>
      <c r="E135" s="3">
        <v>61.7</v>
      </c>
    </row>
    <row r="136" spans="1:5" x14ac:dyDescent="0.2">
      <c r="A136" s="2" t="s">
        <v>3</v>
      </c>
      <c r="B136" s="2" t="s">
        <v>15</v>
      </c>
      <c r="C136" s="2" t="s">
        <v>22</v>
      </c>
      <c r="D136" s="2" t="s">
        <v>65</v>
      </c>
      <c r="E136" s="2">
        <v>62.2</v>
      </c>
    </row>
    <row r="137" spans="1:5" x14ac:dyDescent="0.2">
      <c r="A137" s="3" t="s">
        <v>3</v>
      </c>
      <c r="B137" s="3" t="s">
        <v>15</v>
      </c>
      <c r="C137" s="3" t="s">
        <v>22</v>
      </c>
      <c r="D137" s="3" t="s">
        <v>66</v>
      </c>
      <c r="E137" s="3">
        <v>63.6</v>
      </c>
    </row>
    <row r="138" spans="1:5" x14ac:dyDescent="0.2">
      <c r="A138" s="2" t="s">
        <v>3</v>
      </c>
      <c r="B138" s="2" t="s">
        <v>15</v>
      </c>
      <c r="C138" s="2" t="s">
        <v>22</v>
      </c>
      <c r="D138" s="2" t="s">
        <v>67</v>
      </c>
      <c r="E138" s="2">
        <v>63.9</v>
      </c>
    </row>
    <row r="139" spans="1:5" x14ac:dyDescent="0.2">
      <c r="A139" s="3" t="s">
        <v>3</v>
      </c>
      <c r="B139" s="3" t="s">
        <v>15</v>
      </c>
      <c r="C139" s="3" t="s">
        <v>22</v>
      </c>
      <c r="D139" s="3" t="s">
        <v>68</v>
      </c>
      <c r="E139" s="3">
        <v>64.400000000000006</v>
      </c>
    </row>
    <row r="140" spans="1:5" x14ac:dyDescent="0.2">
      <c r="A140" s="2" t="s">
        <v>3</v>
      </c>
      <c r="B140" s="2" t="s">
        <v>15</v>
      </c>
      <c r="C140" s="2" t="s">
        <v>22</v>
      </c>
      <c r="D140" s="2" t="s">
        <v>69</v>
      </c>
      <c r="E140" s="2">
        <v>65.3</v>
      </c>
    </row>
    <row r="141" spans="1:5" x14ac:dyDescent="0.2">
      <c r="A141" s="3" t="s">
        <v>3</v>
      </c>
      <c r="B141" s="3" t="s">
        <v>15</v>
      </c>
      <c r="C141" s="3" t="s">
        <v>22</v>
      </c>
      <c r="D141" s="3" t="s">
        <v>70</v>
      </c>
      <c r="E141" s="3">
        <v>65.900000000000006</v>
      </c>
    </row>
    <row r="142" spans="1:5" x14ac:dyDescent="0.2">
      <c r="A142" s="2" t="s">
        <v>3</v>
      </c>
      <c r="B142" s="2" t="s">
        <v>15</v>
      </c>
      <c r="C142" s="2" t="s">
        <v>26</v>
      </c>
      <c r="D142" s="2" t="s">
        <v>64</v>
      </c>
      <c r="E142" s="2">
        <v>64.7</v>
      </c>
    </row>
    <row r="143" spans="1:5" x14ac:dyDescent="0.2">
      <c r="A143" s="3" t="s">
        <v>3</v>
      </c>
      <c r="B143" s="3" t="s">
        <v>15</v>
      </c>
      <c r="C143" s="3" t="s">
        <v>26</v>
      </c>
      <c r="D143" s="3" t="s">
        <v>65</v>
      </c>
      <c r="E143" s="3">
        <v>65.2</v>
      </c>
    </row>
    <row r="144" spans="1:5" x14ac:dyDescent="0.2">
      <c r="A144" s="2" t="s">
        <v>3</v>
      </c>
      <c r="B144" s="2" t="s">
        <v>15</v>
      </c>
      <c r="C144" s="2" t="s">
        <v>26</v>
      </c>
      <c r="D144" s="2" t="s">
        <v>66</v>
      </c>
      <c r="E144" s="2">
        <v>66.099999999999994</v>
      </c>
    </row>
    <row r="145" spans="1:5" x14ac:dyDescent="0.2">
      <c r="A145" s="3" t="s">
        <v>3</v>
      </c>
      <c r="B145" s="3" t="s">
        <v>15</v>
      </c>
      <c r="C145" s="3" t="s">
        <v>26</v>
      </c>
      <c r="D145" s="3" t="s">
        <v>67</v>
      </c>
      <c r="E145" s="3">
        <v>66.7</v>
      </c>
    </row>
    <row r="146" spans="1:5" x14ac:dyDescent="0.2">
      <c r="A146" s="2" t="s">
        <v>3</v>
      </c>
      <c r="B146" s="2" t="s">
        <v>15</v>
      </c>
      <c r="C146" s="2" t="s">
        <v>26</v>
      </c>
      <c r="D146" s="2" t="s">
        <v>68</v>
      </c>
      <c r="E146" s="2">
        <v>67.400000000000006</v>
      </c>
    </row>
    <row r="147" spans="1:5" x14ac:dyDescent="0.2">
      <c r="A147" s="3" t="s">
        <v>3</v>
      </c>
      <c r="B147" s="3" t="s">
        <v>15</v>
      </c>
      <c r="C147" s="3" t="s">
        <v>26</v>
      </c>
      <c r="D147" s="3" t="s">
        <v>69</v>
      </c>
      <c r="E147" s="3">
        <v>68.2</v>
      </c>
    </row>
    <row r="148" spans="1:5" x14ac:dyDescent="0.2">
      <c r="A148" s="2" t="s">
        <v>3</v>
      </c>
      <c r="B148" s="2" t="s">
        <v>15</v>
      </c>
      <c r="C148" s="2" t="s">
        <v>26</v>
      </c>
      <c r="D148" s="2" t="s">
        <v>70</v>
      </c>
      <c r="E148" s="2">
        <v>68.8</v>
      </c>
    </row>
    <row r="149" spans="1:5" x14ac:dyDescent="0.2">
      <c r="A149" s="3" t="s">
        <v>3</v>
      </c>
      <c r="B149" s="3" t="s">
        <v>15</v>
      </c>
      <c r="C149" s="3" t="s">
        <v>29</v>
      </c>
      <c r="D149" s="3" t="s">
        <v>64</v>
      </c>
      <c r="E149" s="3">
        <v>58.5</v>
      </c>
    </row>
    <row r="150" spans="1:5" x14ac:dyDescent="0.2">
      <c r="A150" s="2" t="s">
        <v>3</v>
      </c>
      <c r="B150" s="2" t="s">
        <v>15</v>
      </c>
      <c r="C150" s="2" t="s">
        <v>29</v>
      </c>
      <c r="D150" s="2" t="s">
        <v>65</v>
      </c>
      <c r="E150" s="2">
        <v>58.2</v>
      </c>
    </row>
    <row r="151" spans="1:5" x14ac:dyDescent="0.2">
      <c r="A151" s="3" t="s">
        <v>3</v>
      </c>
      <c r="B151" s="3" t="s">
        <v>15</v>
      </c>
      <c r="C151" s="3" t="s">
        <v>29</v>
      </c>
      <c r="D151" s="3" t="s">
        <v>66</v>
      </c>
      <c r="E151" s="3">
        <v>59.1</v>
      </c>
    </row>
    <row r="152" spans="1:5" x14ac:dyDescent="0.2">
      <c r="A152" s="2" t="s">
        <v>3</v>
      </c>
      <c r="B152" s="2" t="s">
        <v>15</v>
      </c>
      <c r="C152" s="2" t="s">
        <v>29</v>
      </c>
      <c r="D152" s="2" t="s">
        <v>67</v>
      </c>
      <c r="E152" s="2">
        <v>59.6</v>
      </c>
    </row>
    <row r="153" spans="1:5" x14ac:dyDescent="0.2">
      <c r="A153" s="3" t="s">
        <v>3</v>
      </c>
      <c r="B153" s="3" t="s">
        <v>15</v>
      </c>
      <c r="C153" s="3" t="s">
        <v>29</v>
      </c>
      <c r="D153" s="3" t="s">
        <v>68</v>
      </c>
      <c r="E153" s="3">
        <v>60.8</v>
      </c>
    </row>
    <row r="154" spans="1:5" x14ac:dyDescent="0.2">
      <c r="A154" s="2" t="s">
        <v>3</v>
      </c>
      <c r="B154" s="2" t="s">
        <v>15</v>
      </c>
      <c r="C154" s="2" t="s">
        <v>29</v>
      </c>
      <c r="D154" s="2" t="s">
        <v>69</v>
      </c>
      <c r="E154" s="2">
        <v>60.7</v>
      </c>
    </row>
    <row r="155" spans="1:5" x14ac:dyDescent="0.2">
      <c r="A155" s="3" t="s">
        <v>3</v>
      </c>
      <c r="B155" s="3" t="s">
        <v>15</v>
      </c>
      <c r="C155" s="3" t="s">
        <v>29</v>
      </c>
      <c r="D155" s="3" t="s">
        <v>70</v>
      </c>
      <c r="E155" s="3">
        <v>61.3</v>
      </c>
    </row>
    <row r="156" spans="1:5" x14ac:dyDescent="0.2">
      <c r="A156" s="2" t="s">
        <v>3</v>
      </c>
      <c r="B156" s="2" t="s">
        <v>15</v>
      </c>
      <c r="C156" s="2" t="s">
        <v>32</v>
      </c>
      <c r="D156" s="2" t="s">
        <v>64</v>
      </c>
      <c r="E156" s="2">
        <v>59.9</v>
      </c>
    </row>
    <row r="157" spans="1:5" x14ac:dyDescent="0.2">
      <c r="A157" s="3" t="s">
        <v>3</v>
      </c>
      <c r="B157" s="3" t="s">
        <v>15</v>
      </c>
      <c r="C157" s="3" t="s">
        <v>32</v>
      </c>
      <c r="D157" s="3" t="s">
        <v>65</v>
      </c>
      <c r="E157" s="3">
        <v>60.5</v>
      </c>
    </row>
    <row r="158" spans="1:5" x14ac:dyDescent="0.2">
      <c r="A158" s="2" t="s">
        <v>3</v>
      </c>
      <c r="B158" s="2" t="s">
        <v>15</v>
      </c>
      <c r="C158" s="2" t="s">
        <v>32</v>
      </c>
      <c r="D158" s="2" t="s">
        <v>66</v>
      </c>
      <c r="E158" s="2">
        <v>61</v>
      </c>
    </row>
    <row r="159" spans="1:5" x14ac:dyDescent="0.2">
      <c r="A159" s="3" t="s">
        <v>3</v>
      </c>
      <c r="B159" s="3" t="s">
        <v>15</v>
      </c>
      <c r="C159" s="3" t="s">
        <v>32</v>
      </c>
      <c r="D159" s="3" t="s">
        <v>67</v>
      </c>
      <c r="E159" s="3">
        <v>61.5</v>
      </c>
    </row>
    <row r="160" spans="1:5" x14ac:dyDescent="0.2">
      <c r="A160" s="2" t="s">
        <v>3</v>
      </c>
      <c r="B160" s="2" t="s">
        <v>15</v>
      </c>
      <c r="C160" s="2" t="s">
        <v>32</v>
      </c>
      <c r="D160" s="2" t="s">
        <v>68</v>
      </c>
      <c r="E160" s="2">
        <v>62.8</v>
      </c>
    </row>
    <row r="161" spans="1:5" x14ac:dyDescent="0.2">
      <c r="A161" s="3" t="s">
        <v>3</v>
      </c>
      <c r="B161" s="3" t="s">
        <v>15</v>
      </c>
      <c r="C161" s="3" t="s">
        <v>32</v>
      </c>
      <c r="D161" s="3" t="s">
        <v>69</v>
      </c>
      <c r="E161" s="3">
        <v>62.9</v>
      </c>
    </row>
    <row r="162" spans="1:5" x14ac:dyDescent="0.2">
      <c r="A162" s="2" t="s">
        <v>3</v>
      </c>
      <c r="B162" s="2" t="s">
        <v>15</v>
      </c>
      <c r="C162" s="2" t="s">
        <v>32</v>
      </c>
      <c r="D162" s="2" t="s">
        <v>70</v>
      </c>
      <c r="E162" s="2">
        <v>64</v>
      </c>
    </row>
    <row r="163" spans="1:5" x14ac:dyDescent="0.2">
      <c r="A163" s="3" t="s">
        <v>3</v>
      </c>
      <c r="B163" s="3" t="s">
        <v>15</v>
      </c>
      <c r="C163" s="3" t="s">
        <v>35</v>
      </c>
      <c r="D163" s="3" t="s">
        <v>64</v>
      </c>
      <c r="E163" s="3">
        <v>70.099999999999994</v>
      </c>
    </row>
    <row r="164" spans="1:5" x14ac:dyDescent="0.2">
      <c r="A164" s="2" t="s">
        <v>3</v>
      </c>
      <c r="B164" s="2" t="s">
        <v>15</v>
      </c>
      <c r="C164" s="2" t="s">
        <v>35</v>
      </c>
      <c r="D164" s="2" t="s">
        <v>65</v>
      </c>
      <c r="E164" s="2">
        <v>70.2</v>
      </c>
    </row>
    <row r="165" spans="1:5" x14ac:dyDescent="0.2">
      <c r="A165" s="3" t="s">
        <v>3</v>
      </c>
      <c r="B165" s="3" t="s">
        <v>15</v>
      </c>
      <c r="C165" s="3" t="s">
        <v>35</v>
      </c>
      <c r="D165" s="3" t="s">
        <v>66</v>
      </c>
      <c r="E165" s="3">
        <v>71.7</v>
      </c>
    </row>
    <row r="166" spans="1:5" x14ac:dyDescent="0.2">
      <c r="A166" s="2" t="s">
        <v>3</v>
      </c>
      <c r="B166" s="2" t="s">
        <v>15</v>
      </c>
      <c r="C166" s="2" t="s">
        <v>35</v>
      </c>
      <c r="D166" s="2" t="s">
        <v>67</v>
      </c>
      <c r="E166" s="2">
        <v>72.099999999999994</v>
      </c>
    </row>
    <row r="167" spans="1:5" x14ac:dyDescent="0.2">
      <c r="A167" s="3" t="s">
        <v>3</v>
      </c>
      <c r="B167" s="3" t="s">
        <v>15</v>
      </c>
      <c r="C167" s="3" t="s">
        <v>35</v>
      </c>
      <c r="D167" s="3" t="s">
        <v>68</v>
      </c>
      <c r="E167" s="3">
        <v>72.900000000000006</v>
      </c>
    </row>
    <row r="168" spans="1:5" x14ac:dyDescent="0.2">
      <c r="A168" s="2" t="s">
        <v>3</v>
      </c>
      <c r="B168" s="2" t="s">
        <v>15</v>
      </c>
      <c r="C168" s="2" t="s">
        <v>35</v>
      </c>
      <c r="D168" s="2" t="s">
        <v>69</v>
      </c>
      <c r="E168" s="2">
        <v>73.400000000000006</v>
      </c>
    </row>
    <row r="169" spans="1:5" x14ac:dyDescent="0.2">
      <c r="A169" s="3" t="s">
        <v>3</v>
      </c>
      <c r="B169" s="3" t="s">
        <v>15</v>
      </c>
      <c r="C169" s="3" t="s">
        <v>35</v>
      </c>
      <c r="D169" s="3" t="s">
        <v>70</v>
      </c>
      <c r="E169" s="3">
        <v>73.900000000000006</v>
      </c>
    </row>
    <row r="170" spans="1:5" x14ac:dyDescent="0.2">
      <c r="A170" s="2" t="s">
        <v>4</v>
      </c>
      <c r="B170" s="2" t="s">
        <v>15</v>
      </c>
      <c r="C170" s="2" t="s">
        <v>18</v>
      </c>
      <c r="D170" s="2" t="s">
        <v>64</v>
      </c>
      <c r="E170" s="2">
        <v>63.7</v>
      </c>
    </row>
    <row r="171" spans="1:5" x14ac:dyDescent="0.2">
      <c r="A171" s="3" t="s">
        <v>4</v>
      </c>
      <c r="B171" s="3" t="s">
        <v>15</v>
      </c>
      <c r="C171" s="3" t="s">
        <v>18</v>
      </c>
      <c r="D171" s="3" t="s">
        <v>65</v>
      </c>
      <c r="E171" s="3">
        <v>64.599999999999994</v>
      </c>
    </row>
    <row r="172" spans="1:5" x14ac:dyDescent="0.2">
      <c r="A172" s="2" t="s">
        <v>4</v>
      </c>
      <c r="B172" s="2" t="s">
        <v>15</v>
      </c>
      <c r="C172" s="2" t="s">
        <v>18</v>
      </c>
      <c r="D172" s="2" t="s">
        <v>66</v>
      </c>
      <c r="E172" s="2">
        <v>64.900000000000006</v>
      </c>
    </row>
    <row r="173" spans="1:5" x14ac:dyDescent="0.2">
      <c r="A173" s="3" t="s">
        <v>4</v>
      </c>
      <c r="B173" s="3" t="s">
        <v>15</v>
      </c>
      <c r="C173" s="3" t="s">
        <v>18</v>
      </c>
      <c r="D173" s="3" t="s">
        <v>67</v>
      </c>
      <c r="E173" s="3">
        <v>65.7</v>
      </c>
    </row>
    <row r="174" spans="1:5" x14ac:dyDescent="0.2">
      <c r="A174" s="2" t="s">
        <v>4</v>
      </c>
      <c r="B174" s="2" t="s">
        <v>15</v>
      </c>
      <c r="C174" s="2" t="s">
        <v>18</v>
      </c>
      <c r="D174" s="2" t="s">
        <v>68</v>
      </c>
      <c r="E174" s="2">
        <v>66</v>
      </c>
    </row>
    <row r="175" spans="1:5" x14ac:dyDescent="0.2">
      <c r="A175" s="3" t="s">
        <v>4</v>
      </c>
      <c r="B175" s="3" t="s">
        <v>15</v>
      </c>
      <c r="C175" s="3" t="s">
        <v>18</v>
      </c>
      <c r="D175" s="3" t="s">
        <v>69</v>
      </c>
      <c r="E175" s="3">
        <v>66.900000000000006</v>
      </c>
    </row>
    <row r="176" spans="1:5" x14ac:dyDescent="0.2">
      <c r="A176" s="2" t="s">
        <v>4</v>
      </c>
      <c r="B176" s="2" t="s">
        <v>15</v>
      </c>
      <c r="C176" s="2" t="s">
        <v>18</v>
      </c>
      <c r="D176" s="2" t="s">
        <v>70</v>
      </c>
      <c r="E176" s="2">
        <v>68.099999999999994</v>
      </c>
    </row>
    <row r="177" spans="1:5" x14ac:dyDescent="0.2">
      <c r="A177" s="3" t="s">
        <v>4</v>
      </c>
      <c r="B177" s="3" t="s">
        <v>15</v>
      </c>
      <c r="C177" s="3" t="s">
        <v>22</v>
      </c>
      <c r="D177" s="3" t="s">
        <v>64</v>
      </c>
      <c r="E177" s="3">
        <v>70.8</v>
      </c>
    </row>
    <row r="178" spans="1:5" x14ac:dyDescent="0.2">
      <c r="A178" s="2" t="s">
        <v>4</v>
      </c>
      <c r="B178" s="2" t="s">
        <v>15</v>
      </c>
      <c r="C178" s="2" t="s">
        <v>22</v>
      </c>
      <c r="D178" s="2" t="s">
        <v>65</v>
      </c>
      <c r="E178" s="2">
        <v>71.900000000000006</v>
      </c>
    </row>
    <row r="179" spans="1:5" x14ac:dyDescent="0.2">
      <c r="A179" s="3" t="s">
        <v>4</v>
      </c>
      <c r="B179" s="3" t="s">
        <v>15</v>
      </c>
      <c r="C179" s="3" t="s">
        <v>22</v>
      </c>
      <c r="D179" s="3" t="s">
        <v>66</v>
      </c>
      <c r="E179" s="3">
        <v>72.2</v>
      </c>
    </row>
    <row r="180" spans="1:5" x14ac:dyDescent="0.2">
      <c r="A180" s="2" t="s">
        <v>4</v>
      </c>
      <c r="B180" s="2" t="s">
        <v>15</v>
      </c>
      <c r="C180" s="2" t="s">
        <v>22</v>
      </c>
      <c r="D180" s="2" t="s">
        <v>67</v>
      </c>
      <c r="E180" s="2">
        <v>72.7</v>
      </c>
    </row>
    <row r="181" spans="1:5" x14ac:dyDescent="0.2">
      <c r="A181" s="3" t="s">
        <v>4</v>
      </c>
      <c r="B181" s="3" t="s">
        <v>15</v>
      </c>
      <c r="C181" s="3" t="s">
        <v>22</v>
      </c>
      <c r="D181" s="3" t="s">
        <v>68</v>
      </c>
      <c r="E181" s="3">
        <v>73.900000000000006</v>
      </c>
    </row>
    <row r="182" spans="1:5" x14ac:dyDescent="0.2">
      <c r="A182" s="2" t="s">
        <v>4</v>
      </c>
      <c r="B182" s="2" t="s">
        <v>15</v>
      </c>
      <c r="C182" s="2" t="s">
        <v>22</v>
      </c>
      <c r="D182" s="2" t="s">
        <v>69</v>
      </c>
      <c r="E182" s="2">
        <v>74.5</v>
      </c>
    </row>
    <row r="183" spans="1:5" x14ac:dyDescent="0.2">
      <c r="A183" s="3" t="s">
        <v>4</v>
      </c>
      <c r="B183" s="3" t="s">
        <v>15</v>
      </c>
      <c r="C183" s="3" t="s">
        <v>22</v>
      </c>
      <c r="D183" s="3" t="s">
        <v>70</v>
      </c>
      <c r="E183" s="3">
        <v>74.7</v>
      </c>
    </row>
    <row r="184" spans="1:5" x14ac:dyDescent="0.2">
      <c r="A184" s="2" t="s">
        <v>4</v>
      </c>
      <c r="B184" s="2" t="s">
        <v>15</v>
      </c>
      <c r="C184" s="2" t="s">
        <v>26</v>
      </c>
      <c r="D184" s="2" t="s">
        <v>64</v>
      </c>
      <c r="E184" s="2">
        <v>70.2</v>
      </c>
    </row>
    <row r="185" spans="1:5" x14ac:dyDescent="0.2">
      <c r="A185" s="3" t="s">
        <v>4</v>
      </c>
      <c r="B185" s="3" t="s">
        <v>15</v>
      </c>
      <c r="C185" s="3" t="s">
        <v>26</v>
      </c>
      <c r="D185" s="3" t="s">
        <v>65</v>
      </c>
      <c r="E185" s="3">
        <v>70.3</v>
      </c>
    </row>
    <row r="186" spans="1:5" x14ac:dyDescent="0.2">
      <c r="A186" s="2" t="s">
        <v>4</v>
      </c>
      <c r="B186" s="2" t="s">
        <v>15</v>
      </c>
      <c r="C186" s="2" t="s">
        <v>26</v>
      </c>
      <c r="D186" s="2" t="s">
        <v>66</v>
      </c>
      <c r="E186" s="2">
        <v>71</v>
      </c>
    </row>
    <row r="187" spans="1:5" x14ac:dyDescent="0.2">
      <c r="A187" s="3" t="s">
        <v>4</v>
      </c>
      <c r="B187" s="3" t="s">
        <v>15</v>
      </c>
      <c r="C187" s="3" t="s">
        <v>26</v>
      </c>
      <c r="D187" s="3" t="s">
        <v>67</v>
      </c>
      <c r="E187" s="3">
        <v>72.3</v>
      </c>
    </row>
    <row r="188" spans="1:5" x14ac:dyDescent="0.2">
      <c r="A188" s="2" t="s">
        <v>4</v>
      </c>
      <c r="B188" s="2" t="s">
        <v>15</v>
      </c>
      <c r="C188" s="2" t="s">
        <v>26</v>
      </c>
      <c r="D188" s="2" t="s">
        <v>68</v>
      </c>
      <c r="E188" s="2">
        <v>72.5</v>
      </c>
    </row>
    <row r="189" spans="1:5" x14ac:dyDescent="0.2">
      <c r="A189" s="3" t="s">
        <v>4</v>
      </c>
      <c r="B189" s="3" t="s">
        <v>15</v>
      </c>
      <c r="C189" s="3" t="s">
        <v>26</v>
      </c>
      <c r="D189" s="3" t="s">
        <v>69</v>
      </c>
      <c r="E189" s="3">
        <v>73</v>
      </c>
    </row>
    <row r="190" spans="1:5" x14ac:dyDescent="0.2">
      <c r="A190" s="2" t="s">
        <v>4</v>
      </c>
      <c r="B190" s="2" t="s">
        <v>15</v>
      </c>
      <c r="C190" s="2" t="s">
        <v>26</v>
      </c>
      <c r="D190" s="2" t="s">
        <v>70</v>
      </c>
      <c r="E190" s="2">
        <v>73.8</v>
      </c>
    </row>
    <row r="191" spans="1:5" x14ac:dyDescent="0.2">
      <c r="A191" s="3" t="s">
        <v>4</v>
      </c>
      <c r="B191" s="3" t="s">
        <v>15</v>
      </c>
      <c r="C191" s="3" t="s">
        <v>29</v>
      </c>
      <c r="D191" s="3" t="s">
        <v>64</v>
      </c>
      <c r="E191" s="3">
        <v>61.6</v>
      </c>
    </row>
    <row r="192" spans="1:5" x14ac:dyDescent="0.2">
      <c r="A192" s="2" t="s">
        <v>4</v>
      </c>
      <c r="B192" s="2" t="s">
        <v>15</v>
      </c>
      <c r="C192" s="2" t="s">
        <v>29</v>
      </c>
      <c r="D192" s="2" t="s">
        <v>65</v>
      </c>
      <c r="E192" s="2">
        <v>62.7</v>
      </c>
    </row>
    <row r="193" spans="1:5" x14ac:dyDescent="0.2">
      <c r="A193" s="3" t="s">
        <v>4</v>
      </c>
      <c r="B193" s="3" t="s">
        <v>15</v>
      </c>
      <c r="C193" s="3" t="s">
        <v>29</v>
      </c>
      <c r="D193" s="3" t="s">
        <v>66</v>
      </c>
      <c r="E193" s="3">
        <v>63.2</v>
      </c>
    </row>
    <row r="194" spans="1:5" x14ac:dyDescent="0.2">
      <c r="A194" s="2" t="s">
        <v>4</v>
      </c>
      <c r="B194" s="2" t="s">
        <v>15</v>
      </c>
      <c r="C194" s="2" t="s">
        <v>29</v>
      </c>
      <c r="D194" s="2" t="s">
        <v>67</v>
      </c>
      <c r="E194" s="2">
        <v>64.2</v>
      </c>
    </row>
    <row r="195" spans="1:5" x14ac:dyDescent="0.2">
      <c r="A195" s="3" t="s">
        <v>4</v>
      </c>
      <c r="B195" s="3" t="s">
        <v>15</v>
      </c>
      <c r="C195" s="3" t="s">
        <v>29</v>
      </c>
      <c r="D195" s="3" t="s">
        <v>68</v>
      </c>
      <c r="E195" s="3">
        <v>64.099999999999994</v>
      </c>
    </row>
    <row r="196" spans="1:5" x14ac:dyDescent="0.2">
      <c r="A196" s="2" t="s">
        <v>4</v>
      </c>
      <c r="B196" s="2" t="s">
        <v>15</v>
      </c>
      <c r="C196" s="2" t="s">
        <v>29</v>
      </c>
      <c r="D196" s="2" t="s">
        <v>69</v>
      </c>
      <c r="E196" s="2">
        <v>65.5</v>
      </c>
    </row>
    <row r="197" spans="1:5" x14ac:dyDescent="0.2">
      <c r="A197" s="3" t="s">
        <v>4</v>
      </c>
      <c r="B197" s="3" t="s">
        <v>15</v>
      </c>
      <c r="C197" s="3" t="s">
        <v>29</v>
      </c>
      <c r="D197" s="3" t="s">
        <v>70</v>
      </c>
      <c r="E197" s="3">
        <v>65.2</v>
      </c>
    </row>
    <row r="198" spans="1:5" x14ac:dyDescent="0.2">
      <c r="A198" s="2" t="s">
        <v>4</v>
      </c>
      <c r="B198" s="2" t="s">
        <v>15</v>
      </c>
      <c r="C198" s="2" t="s">
        <v>32</v>
      </c>
      <c r="D198" s="2" t="s">
        <v>64</v>
      </c>
      <c r="E198" s="2">
        <v>67.7</v>
      </c>
    </row>
    <row r="199" spans="1:5" x14ac:dyDescent="0.2">
      <c r="A199" s="3" t="s">
        <v>4</v>
      </c>
      <c r="B199" s="3" t="s">
        <v>15</v>
      </c>
      <c r="C199" s="3" t="s">
        <v>32</v>
      </c>
      <c r="D199" s="3" t="s">
        <v>65</v>
      </c>
      <c r="E199" s="3">
        <v>68.7</v>
      </c>
    </row>
    <row r="200" spans="1:5" x14ac:dyDescent="0.2">
      <c r="A200" s="2" t="s">
        <v>4</v>
      </c>
      <c r="B200" s="2" t="s">
        <v>15</v>
      </c>
      <c r="C200" s="2" t="s">
        <v>32</v>
      </c>
      <c r="D200" s="2" t="s">
        <v>66</v>
      </c>
      <c r="E200" s="2">
        <v>69.400000000000006</v>
      </c>
    </row>
    <row r="201" spans="1:5" x14ac:dyDescent="0.2">
      <c r="A201" s="3" t="s">
        <v>4</v>
      </c>
      <c r="B201" s="3" t="s">
        <v>15</v>
      </c>
      <c r="C201" s="3" t="s">
        <v>32</v>
      </c>
      <c r="D201" s="3" t="s">
        <v>67</v>
      </c>
      <c r="E201" s="3">
        <v>69.5</v>
      </c>
    </row>
    <row r="202" spans="1:5" x14ac:dyDescent="0.2">
      <c r="A202" s="2" t="s">
        <v>4</v>
      </c>
      <c r="B202" s="2" t="s">
        <v>15</v>
      </c>
      <c r="C202" s="2" t="s">
        <v>32</v>
      </c>
      <c r="D202" s="2" t="s">
        <v>68</v>
      </c>
      <c r="E202" s="2">
        <v>70</v>
      </c>
    </row>
    <row r="203" spans="1:5" x14ac:dyDescent="0.2">
      <c r="A203" s="3" t="s">
        <v>4</v>
      </c>
      <c r="B203" s="3" t="s">
        <v>15</v>
      </c>
      <c r="C203" s="3" t="s">
        <v>32</v>
      </c>
      <c r="D203" s="3" t="s">
        <v>69</v>
      </c>
      <c r="E203" s="3">
        <v>71.400000000000006</v>
      </c>
    </row>
    <row r="204" spans="1:5" x14ac:dyDescent="0.2">
      <c r="A204" s="2" t="s">
        <v>4</v>
      </c>
      <c r="B204" s="2" t="s">
        <v>15</v>
      </c>
      <c r="C204" s="2" t="s">
        <v>32</v>
      </c>
      <c r="D204" s="2" t="s">
        <v>70</v>
      </c>
      <c r="E204" s="2">
        <v>71.3</v>
      </c>
    </row>
    <row r="205" spans="1:5" x14ac:dyDescent="0.2">
      <c r="A205" s="3" t="s">
        <v>4</v>
      </c>
      <c r="B205" s="3" t="s">
        <v>15</v>
      </c>
      <c r="C205" s="3" t="s">
        <v>35</v>
      </c>
      <c r="D205" s="3" t="s">
        <v>64</v>
      </c>
      <c r="E205" s="3">
        <v>60.1</v>
      </c>
    </row>
    <row r="206" spans="1:5" x14ac:dyDescent="0.2">
      <c r="A206" s="2" t="s">
        <v>4</v>
      </c>
      <c r="B206" s="2" t="s">
        <v>15</v>
      </c>
      <c r="C206" s="2" t="s">
        <v>35</v>
      </c>
      <c r="D206" s="2" t="s">
        <v>65</v>
      </c>
      <c r="E206" s="2">
        <v>60.7</v>
      </c>
    </row>
    <row r="207" spans="1:5" x14ac:dyDescent="0.2">
      <c r="A207" s="3" t="s">
        <v>4</v>
      </c>
      <c r="B207" s="3" t="s">
        <v>15</v>
      </c>
      <c r="C207" s="3" t="s">
        <v>35</v>
      </c>
      <c r="D207" s="3" t="s">
        <v>66</v>
      </c>
      <c r="E207" s="3">
        <v>61.1</v>
      </c>
    </row>
    <row r="208" spans="1:5" x14ac:dyDescent="0.2">
      <c r="A208" s="2" t="s">
        <v>4</v>
      </c>
      <c r="B208" s="2" t="s">
        <v>15</v>
      </c>
      <c r="C208" s="2" t="s">
        <v>35</v>
      </c>
      <c r="D208" s="2" t="s">
        <v>67</v>
      </c>
      <c r="E208" s="2">
        <v>61.9</v>
      </c>
    </row>
    <row r="209" spans="1:5" x14ac:dyDescent="0.2">
      <c r="A209" s="3" t="s">
        <v>4</v>
      </c>
      <c r="B209" s="3" t="s">
        <v>15</v>
      </c>
      <c r="C209" s="3" t="s">
        <v>35</v>
      </c>
      <c r="D209" s="3" t="s">
        <v>68</v>
      </c>
      <c r="E209" s="3">
        <v>62.4</v>
      </c>
    </row>
    <row r="210" spans="1:5" x14ac:dyDescent="0.2">
      <c r="A210" s="2" t="s">
        <v>4</v>
      </c>
      <c r="B210" s="2" t="s">
        <v>15</v>
      </c>
      <c r="C210" s="2" t="s">
        <v>35</v>
      </c>
      <c r="D210" s="2" t="s">
        <v>69</v>
      </c>
      <c r="E210" s="2">
        <v>63.4</v>
      </c>
    </row>
    <row r="211" spans="1:5" x14ac:dyDescent="0.2">
      <c r="A211" s="3" t="s">
        <v>4</v>
      </c>
      <c r="B211" s="3" t="s">
        <v>15</v>
      </c>
      <c r="C211" s="3" t="s">
        <v>35</v>
      </c>
      <c r="D211" s="3" t="s">
        <v>70</v>
      </c>
      <c r="E211" s="3">
        <v>63.3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86A54"/>
  </sheetPr>
  <dimension ref="A1:F421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31" customWidth="1"/>
    <col min="4" max="4" width="13" customWidth="1"/>
    <col min="5" max="5" width="10" customWidth="1"/>
  </cols>
  <sheetData>
    <row r="1" spans="1:6" ht="28" x14ac:dyDescent="0.2">
      <c r="A1" s="4" t="s">
        <v>237</v>
      </c>
      <c r="B1" s="4" t="s">
        <v>238</v>
      </c>
      <c r="C1" s="4" t="s">
        <v>245</v>
      </c>
      <c r="D1" s="4" t="s">
        <v>63</v>
      </c>
      <c r="E1" s="4" t="s">
        <v>248</v>
      </c>
      <c r="F1" s="10" t="s">
        <v>239</v>
      </c>
    </row>
    <row r="2" spans="1:6" x14ac:dyDescent="0.2">
      <c r="A2" t="s">
        <v>3</v>
      </c>
      <c r="B2" t="s">
        <v>15</v>
      </c>
      <c r="C2" t="s">
        <v>38</v>
      </c>
      <c r="D2" t="s">
        <v>64</v>
      </c>
      <c r="E2">
        <v>83.1</v>
      </c>
      <c r="F2" t="s">
        <v>18</v>
      </c>
    </row>
    <row r="3" spans="1:6" x14ac:dyDescent="0.2">
      <c r="A3" t="s">
        <v>3</v>
      </c>
      <c r="B3" t="s">
        <v>15</v>
      </c>
      <c r="C3" t="s">
        <v>40</v>
      </c>
      <c r="D3" t="s">
        <v>64</v>
      </c>
      <c r="E3">
        <v>51.7</v>
      </c>
      <c r="F3" t="s">
        <v>18</v>
      </c>
    </row>
    <row r="4" spans="1:6" x14ac:dyDescent="0.2">
      <c r="A4" t="s">
        <v>3</v>
      </c>
      <c r="B4" t="s">
        <v>15</v>
      </c>
      <c r="C4" t="s">
        <v>41</v>
      </c>
      <c r="D4" t="s">
        <v>64</v>
      </c>
      <c r="E4">
        <v>71.5</v>
      </c>
      <c r="F4" t="s">
        <v>22</v>
      </c>
    </row>
    <row r="5" spans="1:6" x14ac:dyDescent="0.2">
      <c r="A5" t="s">
        <v>3</v>
      </c>
      <c r="B5" t="s">
        <v>15</v>
      </c>
      <c r="C5" t="s">
        <v>42</v>
      </c>
      <c r="D5" t="s">
        <v>64</v>
      </c>
      <c r="E5">
        <v>66.599999999999994</v>
      </c>
      <c r="F5" t="s">
        <v>22</v>
      </c>
    </row>
    <row r="6" spans="1:6" x14ac:dyDescent="0.2">
      <c r="A6" t="s">
        <v>3</v>
      </c>
      <c r="B6" t="s">
        <v>15</v>
      </c>
      <c r="C6" t="s">
        <v>39</v>
      </c>
      <c r="D6" t="s">
        <v>64</v>
      </c>
      <c r="E6">
        <v>82.9</v>
      </c>
      <c r="F6" t="s">
        <v>22</v>
      </c>
    </row>
    <row r="7" spans="1:6" x14ac:dyDescent="0.2">
      <c r="A7" t="s">
        <v>3</v>
      </c>
      <c r="B7" t="s">
        <v>15</v>
      </c>
      <c r="C7" t="s">
        <v>43</v>
      </c>
      <c r="D7" t="s">
        <v>64</v>
      </c>
      <c r="E7">
        <v>74.3</v>
      </c>
      <c r="F7" t="s">
        <v>26</v>
      </c>
    </row>
    <row r="8" spans="1:6" x14ac:dyDescent="0.2">
      <c r="A8" t="s">
        <v>3</v>
      </c>
      <c r="B8" t="s">
        <v>15</v>
      </c>
      <c r="C8" t="s">
        <v>44</v>
      </c>
      <c r="D8" t="s">
        <v>64</v>
      </c>
      <c r="E8">
        <v>83.3</v>
      </c>
      <c r="F8" t="s">
        <v>29</v>
      </c>
    </row>
    <row r="9" spans="1:6" x14ac:dyDescent="0.2">
      <c r="A9" t="s">
        <v>3</v>
      </c>
      <c r="B9" t="s">
        <v>15</v>
      </c>
      <c r="C9" t="s">
        <v>45</v>
      </c>
      <c r="D9" t="s">
        <v>64</v>
      </c>
      <c r="E9">
        <v>65.3</v>
      </c>
      <c r="F9" t="s">
        <v>29</v>
      </c>
    </row>
    <row r="10" spans="1:6" x14ac:dyDescent="0.2">
      <c r="A10" t="s">
        <v>3</v>
      </c>
      <c r="B10" t="s">
        <v>15</v>
      </c>
      <c r="C10" t="s">
        <v>46</v>
      </c>
      <c r="D10" t="s">
        <v>64</v>
      </c>
      <c r="E10">
        <v>66.5</v>
      </c>
      <c r="F10" t="s">
        <v>29</v>
      </c>
    </row>
    <row r="11" spans="1:6" x14ac:dyDescent="0.2">
      <c r="A11" t="s">
        <v>3</v>
      </c>
      <c r="B11" t="s">
        <v>15</v>
      </c>
      <c r="C11" t="s">
        <v>47</v>
      </c>
      <c r="D11" t="s">
        <v>64</v>
      </c>
      <c r="E11">
        <v>59.8</v>
      </c>
      <c r="F11" t="s">
        <v>32</v>
      </c>
    </row>
    <row r="12" spans="1:6" x14ac:dyDescent="0.2">
      <c r="A12" t="s">
        <v>3</v>
      </c>
      <c r="B12" t="s">
        <v>15</v>
      </c>
      <c r="C12" t="s">
        <v>48</v>
      </c>
      <c r="D12" t="s">
        <v>64</v>
      </c>
      <c r="E12">
        <v>57.6</v>
      </c>
      <c r="F12" t="s">
        <v>35</v>
      </c>
    </row>
    <row r="13" spans="1:6" x14ac:dyDescent="0.2">
      <c r="A13" t="s">
        <v>3</v>
      </c>
      <c r="B13" t="s">
        <v>15</v>
      </c>
      <c r="C13" t="s">
        <v>49</v>
      </c>
      <c r="D13" t="s">
        <v>64</v>
      </c>
      <c r="E13">
        <v>71.2</v>
      </c>
      <c r="F13" t="s">
        <v>35</v>
      </c>
    </row>
    <row r="14" spans="1:6" x14ac:dyDescent="0.2">
      <c r="A14" t="s">
        <v>3</v>
      </c>
      <c r="B14" t="s">
        <v>15</v>
      </c>
      <c r="C14" t="s">
        <v>38</v>
      </c>
      <c r="D14" t="s">
        <v>65</v>
      </c>
      <c r="E14">
        <v>69.599999999999994</v>
      </c>
      <c r="F14" t="s">
        <v>18</v>
      </c>
    </row>
    <row r="15" spans="1:6" x14ac:dyDescent="0.2">
      <c r="A15" t="s">
        <v>3</v>
      </c>
      <c r="B15" t="s">
        <v>15</v>
      </c>
      <c r="C15" t="s">
        <v>40</v>
      </c>
      <c r="D15" t="s">
        <v>65</v>
      </c>
      <c r="E15">
        <v>56.6</v>
      </c>
      <c r="F15" t="s">
        <v>18</v>
      </c>
    </row>
    <row r="16" spans="1:6" x14ac:dyDescent="0.2">
      <c r="A16" t="s">
        <v>3</v>
      </c>
      <c r="B16" t="s">
        <v>15</v>
      </c>
      <c r="C16" t="s">
        <v>41</v>
      </c>
      <c r="D16" t="s">
        <v>65</v>
      </c>
      <c r="E16">
        <v>79</v>
      </c>
      <c r="F16" t="s">
        <v>22</v>
      </c>
    </row>
    <row r="17" spans="1:6" x14ac:dyDescent="0.2">
      <c r="A17" t="s">
        <v>3</v>
      </c>
      <c r="B17" t="s">
        <v>15</v>
      </c>
      <c r="C17" t="s">
        <v>42</v>
      </c>
      <c r="D17" t="s">
        <v>65</v>
      </c>
      <c r="E17">
        <v>74.599999999999994</v>
      </c>
      <c r="F17" t="s">
        <v>22</v>
      </c>
    </row>
    <row r="18" spans="1:6" x14ac:dyDescent="0.2">
      <c r="A18" t="s">
        <v>3</v>
      </c>
      <c r="B18" t="s">
        <v>15</v>
      </c>
      <c r="C18" t="s">
        <v>39</v>
      </c>
      <c r="D18" t="s">
        <v>65</v>
      </c>
      <c r="E18">
        <v>71.099999999999994</v>
      </c>
      <c r="F18" t="s">
        <v>22</v>
      </c>
    </row>
    <row r="19" spans="1:6" x14ac:dyDescent="0.2">
      <c r="A19" t="s">
        <v>3</v>
      </c>
      <c r="B19" t="s">
        <v>15</v>
      </c>
      <c r="C19" t="s">
        <v>43</v>
      </c>
      <c r="D19" t="s">
        <v>65</v>
      </c>
      <c r="E19">
        <v>71.900000000000006</v>
      </c>
      <c r="F19" t="s">
        <v>26</v>
      </c>
    </row>
    <row r="20" spans="1:6" x14ac:dyDescent="0.2">
      <c r="A20" t="s">
        <v>3</v>
      </c>
      <c r="B20" t="s">
        <v>15</v>
      </c>
      <c r="C20" t="s">
        <v>44</v>
      </c>
      <c r="D20" t="s">
        <v>65</v>
      </c>
      <c r="E20">
        <v>81.2</v>
      </c>
      <c r="F20" t="s">
        <v>29</v>
      </c>
    </row>
    <row r="21" spans="1:6" x14ac:dyDescent="0.2">
      <c r="A21" t="s">
        <v>3</v>
      </c>
      <c r="B21" t="s">
        <v>15</v>
      </c>
      <c r="C21" t="s">
        <v>45</v>
      </c>
      <c r="D21" t="s">
        <v>65</v>
      </c>
      <c r="E21">
        <v>63.2</v>
      </c>
      <c r="F21" t="s">
        <v>29</v>
      </c>
    </row>
    <row r="22" spans="1:6" x14ac:dyDescent="0.2">
      <c r="A22" t="s">
        <v>3</v>
      </c>
      <c r="B22" t="s">
        <v>15</v>
      </c>
      <c r="C22" t="s">
        <v>46</v>
      </c>
      <c r="D22" t="s">
        <v>65</v>
      </c>
      <c r="E22">
        <v>76.099999999999994</v>
      </c>
      <c r="F22" t="s">
        <v>29</v>
      </c>
    </row>
    <row r="23" spans="1:6" x14ac:dyDescent="0.2">
      <c r="A23" t="s">
        <v>3</v>
      </c>
      <c r="B23" t="s">
        <v>15</v>
      </c>
      <c r="C23" t="s">
        <v>47</v>
      </c>
      <c r="D23" t="s">
        <v>65</v>
      </c>
      <c r="E23">
        <v>77.2</v>
      </c>
      <c r="F23" t="s">
        <v>32</v>
      </c>
    </row>
    <row r="24" spans="1:6" x14ac:dyDescent="0.2">
      <c r="A24" t="s">
        <v>3</v>
      </c>
      <c r="B24" t="s">
        <v>15</v>
      </c>
      <c r="C24" t="s">
        <v>48</v>
      </c>
      <c r="D24" t="s">
        <v>65</v>
      </c>
      <c r="E24">
        <v>61.2</v>
      </c>
      <c r="F24" t="s">
        <v>35</v>
      </c>
    </row>
    <row r="25" spans="1:6" x14ac:dyDescent="0.2">
      <c r="A25" t="s">
        <v>3</v>
      </c>
      <c r="B25" t="s">
        <v>15</v>
      </c>
      <c r="C25" t="s">
        <v>49</v>
      </c>
      <c r="D25" t="s">
        <v>65</v>
      </c>
      <c r="E25">
        <v>60.7</v>
      </c>
      <c r="F25" t="s">
        <v>35</v>
      </c>
    </row>
    <row r="26" spans="1:6" x14ac:dyDescent="0.2">
      <c r="A26" t="s">
        <v>3</v>
      </c>
      <c r="B26" t="s">
        <v>15</v>
      </c>
      <c r="C26" t="s">
        <v>38</v>
      </c>
      <c r="D26" t="s">
        <v>66</v>
      </c>
      <c r="E26">
        <v>90.1</v>
      </c>
      <c r="F26" t="s">
        <v>18</v>
      </c>
    </row>
    <row r="27" spans="1:6" x14ac:dyDescent="0.2">
      <c r="A27" t="s">
        <v>3</v>
      </c>
      <c r="B27" t="s">
        <v>15</v>
      </c>
      <c r="C27" t="s">
        <v>40</v>
      </c>
      <c r="D27" t="s">
        <v>66</v>
      </c>
      <c r="E27">
        <v>60.4</v>
      </c>
      <c r="F27" t="s">
        <v>18</v>
      </c>
    </row>
    <row r="28" spans="1:6" x14ac:dyDescent="0.2">
      <c r="A28" t="s">
        <v>3</v>
      </c>
      <c r="B28" t="s">
        <v>15</v>
      </c>
      <c r="C28" t="s">
        <v>41</v>
      </c>
      <c r="D28" t="s">
        <v>66</v>
      </c>
      <c r="E28">
        <v>67.900000000000006</v>
      </c>
      <c r="F28" t="s">
        <v>22</v>
      </c>
    </row>
    <row r="29" spans="1:6" x14ac:dyDescent="0.2">
      <c r="A29" t="s">
        <v>3</v>
      </c>
      <c r="B29" t="s">
        <v>15</v>
      </c>
      <c r="C29" t="s">
        <v>42</v>
      </c>
      <c r="D29" t="s">
        <v>66</v>
      </c>
      <c r="E29">
        <v>63.4</v>
      </c>
      <c r="F29" t="s">
        <v>22</v>
      </c>
    </row>
    <row r="30" spans="1:6" x14ac:dyDescent="0.2">
      <c r="A30" t="s">
        <v>3</v>
      </c>
      <c r="B30" t="s">
        <v>15</v>
      </c>
      <c r="C30" t="s">
        <v>39</v>
      </c>
      <c r="D30" t="s">
        <v>66</v>
      </c>
      <c r="E30">
        <v>85.5</v>
      </c>
      <c r="F30" t="s">
        <v>22</v>
      </c>
    </row>
    <row r="31" spans="1:6" x14ac:dyDescent="0.2">
      <c r="A31" t="s">
        <v>3</v>
      </c>
      <c r="B31" t="s">
        <v>15</v>
      </c>
      <c r="C31" t="s">
        <v>43</v>
      </c>
      <c r="D31" t="s">
        <v>66</v>
      </c>
      <c r="E31">
        <v>72.3</v>
      </c>
      <c r="F31" t="s">
        <v>26</v>
      </c>
    </row>
    <row r="32" spans="1:6" x14ac:dyDescent="0.2">
      <c r="A32" t="s">
        <v>3</v>
      </c>
      <c r="B32" t="s">
        <v>15</v>
      </c>
      <c r="C32" t="s">
        <v>44</v>
      </c>
      <c r="D32" t="s">
        <v>66</v>
      </c>
      <c r="E32">
        <v>81.2</v>
      </c>
      <c r="F32" t="s">
        <v>29</v>
      </c>
    </row>
    <row r="33" spans="1:6" x14ac:dyDescent="0.2">
      <c r="A33" t="s">
        <v>3</v>
      </c>
      <c r="B33" t="s">
        <v>15</v>
      </c>
      <c r="C33" t="s">
        <v>45</v>
      </c>
      <c r="D33" t="s">
        <v>66</v>
      </c>
      <c r="E33">
        <v>82</v>
      </c>
      <c r="F33" t="s">
        <v>29</v>
      </c>
    </row>
    <row r="34" spans="1:6" x14ac:dyDescent="0.2">
      <c r="A34" t="s">
        <v>3</v>
      </c>
      <c r="B34" t="s">
        <v>15</v>
      </c>
      <c r="C34" t="s">
        <v>46</v>
      </c>
      <c r="D34" t="s">
        <v>66</v>
      </c>
      <c r="E34">
        <v>69.400000000000006</v>
      </c>
      <c r="F34" t="s">
        <v>29</v>
      </c>
    </row>
    <row r="35" spans="1:6" x14ac:dyDescent="0.2">
      <c r="A35" t="s">
        <v>3</v>
      </c>
      <c r="B35" t="s">
        <v>15</v>
      </c>
      <c r="C35" t="s">
        <v>47</v>
      </c>
      <c r="D35" t="s">
        <v>66</v>
      </c>
      <c r="E35">
        <v>84.3</v>
      </c>
      <c r="F35" t="s">
        <v>32</v>
      </c>
    </row>
    <row r="36" spans="1:6" x14ac:dyDescent="0.2">
      <c r="A36" t="s">
        <v>3</v>
      </c>
      <c r="B36" t="s">
        <v>15</v>
      </c>
      <c r="C36" t="s">
        <v>48</v>
      </c>
      <c r="D36" t="s">
        <v>66</v>
      </c>
      <c r="E36">
        <v>62.4</v>
      </c>
      <c r="F36" t="s">
        <v>35</v>
      </c>
    </row>
    <row r="37" spans="1:6" x14ac:dyDescent="0.2">
      <c r="A37" t="s">
        <v>3</v>
      </c>
      <c r="B37" t="s">
        <v>15</v>
      </c>
      <c r="C37" t="s">
        <v>49</v>
      </c>
      <c r="D37" t="s">
        <v>66</v>
      </c>
      <c r="E37">
        <v>72.599999999999994</v>
      </c>
      <c r="F37" t="s">
        <v>35</v>
      </c>
    </row>
    <row r="38" spans="1:6" x14ac:dyDescent="0.2">
      <c r="A38" t="s">
        <v>3</v>
      </c>
      <c r="B38" t="s">
        <v>15</v>
      </c>
      <c r="C38" t="s">
        <v>38</v>
      </c>
      <c r="D38" t="s">
        <v>67</v>
      </c>
      <c r="E38">
        <v>87.2</v>
      </c>
      <c r="F38" t="s">
        <v>18</v>
      </c>
    </row>
    <row r="39" spans="1:6" x14ac:dyDescent="0.2">
      <c r="A39" t="s">
        <v>3</v>
      </c>
      <c r="B39" t="s">
        <v>15</v>
      </c>
      <c r="C39" t="s">
        <v>40</v>
      </c>
      <c r="D39" t="s">
        <v>67</v>
      </c>
      <c r="E39">
        <v>68.3</v>
      </c>
      <c r="F39" t="s">
        <v>18</v>
      </c>
    </row>
    <row r="40" spans="1:6" x14ac:dyDescent="0.2">
      <c r="A40" t="s">
        <v>3</v>
      </c>
      <c r="B40" t="s">
        <v>15</v>
      </c>
      <c r="C40" t="s">
        <v>41</v>
      </c>
      <c r="D40" t="s">
        <v>67</v>
      </c>
      <c r="E40">
        <v>83.2</v>
      </c>
      <c r="F40" t="s">
        <v>22</v>
      </c>
    </row>
    <row r="41" spans="1:6" x14ac:dyDescent="0.2">
      <c r="A41" t="s">
        <v>3</v>
      </c>
      <c r="B41" t="s">
        <v>15</v>
      </c>
      <c r="C41" t="s">
        <v>42</v>
      </c>
      <c r="D41" t="s">
        <v>67</v>
      </c>
      <c r="E41">
        <v>75.400000000000006</v>
      </c>
      <c r="F41" t="s">
        <v>22</v>
      </c>
    </row>
    <row r="42" spans="1:6" x14ac:dyDescent="0.2">
      <c r="A42" t="s">
        <v>3</v>
      </c>
      <c r="B42" t="s">
        <v>15</v>
      </c>
      <c r="C42" t="s">
        <v>39</v>
      </c>
      <c r="D42" t="s">
        <v>67</v>
      </c>
      <c r="E42">
        <v>82.2</v>
      </c>
      <c r="F42" t="s">
        <v>22</v>
      </c>
    </row>
    <row r="43" spans="1:6" x14ac:dyDescent="0.2">
      <c r="A43" t="s">
        <v>3</v>
      </c>
      <c r="B43" t="s">
        <v>15</v>
      </c>
      <c r="C43" t="s">
        <v>43</v>
      </c>
      <c r="D43" t="s">
        <v>67</v>
      </c>
      <c r="E43">
        <v>57.2</v>
      </c>
      <c r="F43" t="s">
        <v>26</v>
      </c>
    </row>
    <row r="44" spans="1:6" x14ac:dyDescent="0.2">
      <c r="A44" t="s">
        <v>3</v>
      </c>
      <c r="B44" t="s">
        <v>15</v>
      </c>
      <c r="C44" t="s">
        <v>44</v>
      </c>
      <c r="D44" t="s">
        <v>67</v>
      </c>
      <c r="E44">
        <v>66.7</v>
      </c>
      <c r="F44" t="s">
        <v>29</v>
      </c>
    </row>
    <row r="45" spans="1:6" x14ac:dyDescent="0.2">
      <c r="A45" t="s">
        <v>3</v>
      </c>
      <c r="B45" t="s">
        <v>15</v>
      </c>
      <c r="C45" t="s">
        <v>45</v>
      </c>
      <c r="D45" t="s">
        <v>67</v>
      </c>
      <c r="E45">
        <v>70.5</v>
      </c>
      <c r="F45" t="s">
        <v>29</v>
      </c>
    </row>
    <row r="46" spans="1:6" x14ac:dyDescent="0.2">
      <c r="A46" t="s">
        <v>3</v>
      </c>
      <c r="B46" t="s">
        <v>15</v>
      </c>
      <c r="C46" t="s">
        <v>46</v>
      </c>
      <c r="D46" t="s">
        <v>67</v>
      </c>
      <c r="E46">
        <v>58</v>
      </c>
      <c r="F46" t="s">
        <v>29</v>
      </c>
    </row>
    <row r="47" spans="1:6" x14ac:dyDescent="0.2">
      <c r="A47" t="s">
        <v>3</v>
      </c>
      <c r="B47" t="s">
        <v>15</v>
      </c>
      <c r="C47" t="s">
        <v>47</v>
      </c>
      <c r="D47" t="s">
        <v>67</v>
      </c>
      <c r="E47">
        <v>65.099999999999994</v>
      </c>
      <c r="F47" t="s">
        <v>32</v>
      </c>
    </row>
    <row r="48" spans="1:6" x14ac:dyDescent="0.2">
      <c r="A48" t="s">
        <v>3</v>
      </c>
      <c r="B48" t="s">
        <v>15</v>
      </c>
      <c r="C48" t="s">
        <v>48</v>
      </c>
      <c r="D48" t="s">
        <v>67</v>
      </c>
      <c r="E48">
        <v>54</v>
      </c>
      <c r="F48" t="s">
        <v>35</v>
      </c>
    </row>
    <row r="49" spans="1:6" x14ac:dyDescent="0.2">
      <c r="A49" t="s">
        <v>3</v>
      </c>
      <c r="B49" t="s">
        <v>15</v>
      </c>
      <c r="C49" t="s">
        <v>49</v>
      </c>
      <c r="D49" t="s">
        <v>67</v>
      </c>
      <c r="E49">
        <v>64.3</v>
      </c>
      <c r="F49" t="s">
        <v>35</v>
      </c>
    </row>
    <row r="50" spans="1:6" x14ac:dyDescent="0.2">
      <c r="A50" t="s">
        <v>3</v>
      </c>
      <c r="B50" t="s">
        <v>15</v>
      </c>
      <c r="C50" t="s">
        <v>38</v>
      </c>
      <c r="D50" t="s">
        <v>68</v>
      </c>
      <c r="E50">
        <v>83</v>
      </c>
      <c r="F50" t="s">
        <v>18</v>
      </c>
    </row>
    <row r="51" spans="1:6" x14ac:dyDescent="0.2">
      <c r="A51" t="s">
        <v>3</v>
      </c>
      <c r="B51" t="s">
        <v>15</v>
      </c>
      <c r="C51" t="s">
        <v>40</v>
      </c>
      <c r="D51" t="s">
        <v>68</v>
      </c>
      <c r="E51">
        <v>61.2</v>
      </c>
      <c r="F51" t="s">
        <v>18</v>
      </c>
    </row>
    <row r="52" spans="1:6" x14ac:dyDescent="0.2">
      <c r="A52" t="s">
        <v>3</v>
      </c>
      <c r="B52" t="s">
        <v>15</v>
      </c>
      <c r="C52" t="s">
        <v>41</v>
      </c>
      <c r="D52" t="s">
        <v>68</v>
      </c>
      <c r="E52">
        <v>73.400000000000006</v>
      </c>
      <c r="F52" t="s">
        <v>22</v>
      </c>
    </row>
    <row r="53" spans="1:6" x14ac:dyDescent="0.2">
      <c r="A53" t="s">
        <v>3</v>
      </c>
      <c r="B53" t="s">
        <v>15</v>
      </c>
      <c r="C53" t="s">
        <v>42</v>
      </c>
      <c r="D53" t="s">
        <v>68</v>
      </c>
      <c r="E53">
        <v>66.2</v>
      </c>
      <c r="F53" t="s">
        <v>22</v>
      </c>
    </row>
    <row r="54" spans="1:6" x14ac:dyDescent="0.2">
      <c r="A54" t="s">
        <v>3</v>
      </c>
      <c r="B54" t="s">
        <v>15</v>
      </c>
      <c r="C54" t="s">
        <v>39</v>
      </c>
      <c r="D54" t="s">
        <v>68</v>
      </c>
      <c r="E54">
        <v>72.099999999999994</v>
      </c>
      <c r="F54" t="s">
        <v>22</v>
      </c>
    </row>
    <row r="55" spans="1:6" x14ac:dyDescent="0.2">
      <c r="A55" t="s">
        <v>3</v>
      </c>
      <c r="B55" t="s">
        <v>15</v>
      </c>
      <c r="C55" t="s">
        <v>43</v>
      </c>
      <c r="D55" t="s">
        <v>68</v>
      </c>
      <c r="E55">
        <v>81.3</v>
      </c>
      <c r="F55" t="s">
        <v>26</v>
      </c>
    </row>
    <row r="56" spans="1:6" x14ac:dyDescent="0.2">
      <c r="A56" t="s">
        <v>3</v>
      </c>
      <c r="B56" t="s">
        <v>15</v>
      </c>
      <c r="C56" t="s">
        <v>44</v>
      </c>
      <c r="D56" t="s">
        <v>68</v>
      </c>
      <c r="E56">
        <v>77.2</v>
      </c>
      <c r="F56" t="s">
        <v>29</v>
      </c>
    </row>
    <row r="57" spans="1:6" x14ac:dyDescent="0.2">
      <c r="A57" t="s">
        <v>3</v>
      </c>
      <c r="B57" t="s">
        <v>15</v>
      </c>
      <c r="C57" t="s">
        <v>45</v>
      </c>
      <c r="D57" t="s">
        <v>68</v>
      </c>
      <c r="E57">
        <v>78.8</v>
      </c>
      <c r="F57" t="s">
        <v>29</v>
      </c>
    </row>
    <row r="58" spans="1:6" x14ac:dyDescent="0.2">
      <c r="A58" t="s">
        <v>3</v>
      </c>
      <c r="B58" t="s">
        <v>15</v>
      </c>
      <c r="C58" t="s">
        <v>46</v>
      </c>
      <c r="D58" t="s">
        <v>68</v>
      </c>
      <c r="E58">
        <v>60.3</v>
      </c>
      <c r="F58" t="s">
        <v>29</v>
      </c>
    </row>
    <row r="59" spans="1:6" x14ac:dyDescent="0.2">
      <c r="A59" t="s">
        <v>3</v>
      </c>
      <c r="B59" t="s">
        <v>15</v>
      </c>
      <c r="C59" t="s">
        <v>47</v>
      </c>
      <c r="D59" t="s">
        <v>68</v>
      </c>
      <c r="E59">
        <v>78</v>
      </c>
      <c r="F59" t="s">
        <v>32</v>
      </c>
    </row>
    <row r="60" spans="1:6" x14ac:dyDescent="0.2">
      <c r="A60" t="s">
        <v>3</v>
      </c>
      <c r="B60" t="s">
        <v>15</v>
      </c>
      <c r="C60" t="s">
        <v>48</v>
      </c>
      <c r="D60" t="s">
        <v>68</v>
      </c>
      <c r="E60">
        <v>55.9</v>
      </c>
      <c r="F60" t="s">
        <v>35</v>
      </c>
    </row>
    <row r="61" spans="1:6" x14ac:dyDescent="0.2">
      <c r="A61" t="s">
        <v>3</v>
      </c>
      <c r="B61" t="s">
        <v>15</v>
      </c>
      <c r="C61" t="s">
        <v>49</v>
      </c>
      <c r="D61" t="s">
        <v>68</v>
      </c>
      <c r="E61">
        <v>67.400000000000006</v>
      </c>
      <c r="F61" t="s">
        <v>35</v>
      </c>
    </row>
    <row r="62" spans="1:6" x14ac:dyDescent="0.2">
      <c r="A62" t="s">
        <v>3</v>
      </c>
      <c r="B62" t="s">
        <v>15</v>
      </c>
      <c r="C62" t="s">
        <v>38</v>
      </c>
      <c r="D62" t="s">
        <v>69</v>
      </c>
      <c r="E62">
        <v>90.8</v>
      </c>
      <c r="F62" t="s">
        <v>18</v>
      </c>
    </row>
    <row r="63" spans="1:6" x14ac:dyDescent="0.2">
      <c r="A63" t="s">
        <v>3</v>
      </c>
      <c r="B63" t="s">
        <v>15</v>
      </c>
      <c r="C63" t="s">
        <v>40</v>
      </c>
      <c r="D63" t="s">
        <v>69</v>
      </c>
      <c r="E63">
        <v>68.900000000000006</v>
      </c>
      <c r="F63" t="s">
        <v>18</v>
      </c>
    </row>
    <row r="64" spans="1:6" x14ac:dyDescent="0.2">
      <c r="A64" t="s">
        <v>3</v>
      </c>
      <c r="B64" t="s">
        <v>15</v>
      </c>
      <c r="C64" t="s">
        <v>41</v>
      </c>
      <c r="D64" t="s">
        <v>69</v>
      </c>
      <c r="E64">
        <v>77.099999999999994</v>
      </c>
      <c r="F64" t="s">
        <v>22</v>
      </c>
    </row>
    <row r="65" spans="1:6" x14ac:dyDescent="0.2">
      <c r="A65" t="s">
        <v>3</v>
      </c>
      <c r="B65" t="s">
        <v>15</v>
      </c>
      <c r="C65" t="s">
        <v>42</v>
      </c>
      <c r="D65" t="s">
        <v>69</v>
      </c>
      <c r="E65">
        <v>78.099999999999994</v>
      </c>
      <c r="F65" t="s">
        <v>22</v>
      </c>
    </row>
    <row r="66" spans="1:6" x14ac:dyDescent="0.2">
      <c r="A66" t="s">
        <v>3</v>
      </c>
      <c r="B66" t="s">
        <v>15</v>
      </c>
      <c r="C66" t="s">
        <v>39</v>
      </c>
      <c r="D66" t="s">
        <v>69</v>
      </c>
      <c r="E66">
        <v>85.4</v>
      </c>
      <c r="F66" t="s">
        <v>22</v>
      </c>
    </row>
    <row r="67" spans="1:6" x14ac:dyDescent="0.2">
      <c r="A67" t="s">
        <v>3</v>
      </c>
      <c r="B67" t="s">
        <v>15</v>
      </c>
      <c r="C67" t="s">
        <v>43</v>
      </c>
      <c r="D67" t="s">
        <v>69</v>
      </c>
      <c r="E67">
        <v>77</v>
      </c>
      <c r="F67" t="s">
        <v>26</v>
      </c>
    </row>
    <row r="68" spans="1:6" x14ac:dyDescent="0.2">
      <c r="A68" t="s">
        <v>3</v>
      </c>
      <c r="B68" t="s">
        <v>15</v>
      </c>
      <c r="C68" t="s">
        <v>44</v>
      </c>
      <c r="D68" t="s">
        <v>69</v>
      </c>
      <c r="E68">
        <v>66.7</v>
      </c>
      <c r="F68" t="s">
        <v>29</v>
      </c>
    </row>
    <row r="69" spans="1:6" x14ac:dyDescent="0.2">
      <c r="A69" t="s">
        <v>3</v>
      </c>
      <c r="B69" t="s">
        <v>15</v>
      </c>
      <c r="C69" t="s">
        <v>45</v>
      </c>
      <c r="D69" t="s">
        <v>69</v>
      </c>
      <c r="E69">
        <v>63.8</v>
      </c>
      <c r="F69" t="s">
        <v>29</v>
      </c>
    </row>
    <row r="70" spans="1:6" x14ac:dyDescent="0.2">
      <c r="A70" t="s">
        <v>3</v>
      </c>
      <c r="B70" t="s">
        <v>15</v>
      </c>
      <c r="C70" t="s">
        <v>46</v>
      </c>
      <c r="D70" t="s">
        <v>69</v>
      </c>
      <c r="E70">
        <v>63.9</v>
      </c>
      <c r="F70" t="s">
        <v>29</v>
      </c>
    </row>
    <row r="71" spans="1:6" x14ac:dyDescent="0.2">
      <c r="A71" t="s">
        <v>3</v>
      </c>
      <c r="B71" t="s">
        <v>15</v>
      </c>
      <c r="C71" t="s">
        <v>47</v>
      </c>
      <c r="D71" t="s">
        <v>69</v>
      </c>
      <c r="E71">
        <v>66</v>
      </c>
      <c r="F71" t="s">
        <v>32</v>
      </c>
    </row>
    <row r="72" spans="1:6" x14ac:dyDescent="0.2">
      <c r="A72" t="s">
        <v>3</v>
      </c>
      <c r="B72" t="s">
        <v>15</v>
      </c>
      <c r="C72" t="s">
        <v>48</v>
      </c>
      <c r="D72" t="s">
        <v>69</v>
      </c>
      <c r="E72">
        <v>57.3</v>
      </c>
      <c r="F72" t="s">
        <v>35</v>
      </c>
    </row>
    <row r="73" spans="1:6" x14ac:dyDescent="0.2">
      <c r="A73" t="s">
        <v>3</v>
      </c>
      <c r="B73" t="s">
        <v>15</v>
      </c>
      <c r="C73" t="s">
        <v>49</v>
      </c>
      <c r="D73" t="s">
        <v>69</v>
      </c>
      <c r="E73">
        <v>84.3</v>
      </c>
      <c r="F73" t="s">
        <v>35</v>
      </c>
    </row>
    <row r="74" spans="1:6" x14ac:dyDescent="0.2">
      <c r="A74" t="s">
        <v>3</v>
      </c>
      <c r="B74" t="s">
        <v>15</v>
      </c>
      <c r="C74" t="s">
        <v>38</v>
      </c>
      <c r="D74" t="s">
        <v>70</v>
      </c>
      <c r="E74">
        <v>88.3</v>
      </c>
      <c r="F74" t="s">
        <v>18</v>
      </c>
    </row>
    <row r="75" spans="1:6" x14ac:dyDescent="0.2">
      <c r="A75" t="s">
        <v>3</v>
      </c>
      <c r="B75" t="s">
        <v>15</v>
      </c>
      <c r="C75" t="s">
        <v>40</v>
      </c>
      <c r="D75" t="s">
        <v>70</v>
      </c>
      <c r="E75">
        <v>59.8</v>
      </c>
      <c r="F75" t="s">
        <v>18</v>
      </c>
    </row>
    <row r="76" spans="1:6" x14ac:dyDescent="0.2">
      <c r="A76" t="s">
        <v>3</v>
      </c>
      <c r="B76" t="s">
        <v>15</v>
      </c>
      <c r="C76" t="s">
        <v>41</v>
      </c>
      <c r="D76" t="s">
        <v>70</v>
      </c>
      <c r="E76">
        <v>79.099999999999994</v>
      </c>
      <c r="F76" t="s">
        <v>22</v>
      </c>
    </row>
    <row r="77" spans="1:6" x14ac:dyDescent="0.2">
      <c r="A77" t="s">
        <v>3</v>
      </c>
      <c r="B77" t="s">
        <v>15</v>
      </c>
      <c r="C77" t="s">
        <v>42</v>
      </c>
      <c r="D77" t="s">
        <v>70</v>
      </c>
      <c r="E77">
        <v>70.900000000000006</v>
      </c>
      <c r="F77" t="s">
        <v>22</v>
      </c>
    </row>
    <row r="78" spans="1:6" x14ac:dyDescent="0.2">
      <c r="A78" t="s">
        <v>3</v>
      </c>
      <c r="B78" t="s">
        <v>15</v>
      </c>
      <c r="C78" t="s">
        <v>39</v>
      </c>
      <c r="D78" t="s">
        <v>70</v>
      </c>
      <c r="E78">
        <v>87</v>
      </c>
      <c r="F78" t="s">
        <v>22</v>
      </c>
    </row>
    <row r="79" spans="1:6" x14ac:dyDescent="0.2">
      <c r="A79" t="s">
        <v>3</v>
      </c>
      <c r="B79" t="s">
        <v>15</v>
      </c>
      <c r="C79" t="s">
        <v>43</v>
      </c>
      <c r="D79" t="s">
        <v>70</v>
      </c>
      <c r="E79">
        <v>68.400000000000006</v>
      </c>
      <c r="F79" t="s">
        <v>26</v>
      </c>
    </row>
    <row r="80" spans="1:6" x14ac:dyDescent="0.2">
      <c r="A80" t="s">
        <v>3</v>
      </c>
      <c r="B80" t="s">
        <v>15</v>
      </c>
      <c r="C80" t="s">
        <v>44</v>
      </c>
      <c r="D80" t="s">
        <v>70</v>
      </c>
      <c r="E80">
        <v>67.599999999999994</v>
      </c>
      <c r="F80" t="s">
        <v>29</v>
      </c>
    </row>
    <row r="81" spans="1:6" x14ac:dyDescent="0.2">
      <c r="A81" t="s">
        <v>3</v>
      </c>
      <c r="B81" t="s">
        <v>15</v>
      </c>
      <c r="C81" t="s">
        <v>45</v>
      </c>
      <c r="D81" t="s">
        <v>70</v>
      </c>
      <c r="E81">
        <v>69.400000000000006</v>
      </c>
      <c r="F81" t="s">
        <v>29</v>
      </c>
    </row>
    <row r="82" spans="1:6" x14ac:dyDescent="0.2">
      <c r="A82" t="s">
        <v>3</v>
      </c>
      <c r="B82" t="s">
        <v>15</v>
      </c>
      <c r="C82" t="s">
        <v>46</v>
      </c>
      <c r="D82" t="s">
        <v>70</v>
      </c>
      <c r="E82">
        <v>70</v>
      </c>
      <c r="F82" t="s">
        <v>29</v>
      </c>
    </row>
    <row r="83" spans="1:6" x14ac:dyDescent="0.2">
      <c r="A83" t="s">
        <v>3</v>
      </c>
      <c r="B83" t="s">
        <v>15</v>
      </c>
      <c r="C83" t="s">
        <v>47</v>
      </c>
      <c r="D83" t="s">
        <v>70</v>
      </c>
      <c r="E83">
        <v>65.8</v>
      </c>
      <c r="F83" t="s">
        <v>32</v>
      </c>
    </row>
    <row r="84" spans="1:6" x14ac:dyDescent="0.2">
      <c r="A84" t="s">
        <v>3</v>
      </c>
      <c r="B84" t="s">
        <v>15</v>
      </c>
      <c r="C84" t="s">
        <v>48</v>
      </c>
      <c r="D84" t="s">
        <v>70</v>
      </c>
      <c r="E84">
        <v>68.5</v>
      </c>
      <c r="F84" t="s">
        <v>35</v>
      </c>
    </row>
    <row r="85" spans="1:6" x14ac:dyDescent="0.2">
      <c r="A85" t="s">
        <v>3</v>
      </c>
      <c r="B85" t="s">
        <v>15</v>
      </c>
      <c r="C85" t="s">
        <v>49</v>
      </c>
      <c r="D85" t="s">
        <v>70</v>
      </c>
      <c r="E85">
        <v>82.9</v>
      </c>
      <c r="F85" t="s">
        <v>35</v>
      </c>
    </row>
    <row r="86" spans="1:6" x14ac:dyDescent="0.2">
      <c r="A86" t="s">
        <v>2</v>
      </c>
      <c r="B86" t="s">
        <v>15</v>
      </c>
      <c r="C86" t="s">
        <v>38</v>
      </c>
      <c r="D86" t="s">
        <v>64</v>
      </c>
      <c r="E86">
        <v>78.8</v>
      </c>
      <c r="F86" t="s">
        <v>18</v>
      </c>
    </row>
    <row r="87" spans="1:6" x14ac:dyDescent="0.2">
      <c r="A87" t="s">
        <v>2</v>
      </c>
      <c r="B87" t="s">
        <v>15</v>
      </c>
      <c r="C87" t="s">
        <v>40</v>
      </c>
      <c r="D87" t="s">
        <v>64</v>
      </c>
      <c r="E87">
        <v>58.1</v>
      </c>
      <c r="F87" t="s">
        <v>18</v>
      </c>
    </row>
    <row r="88" spans="1:6" x14ac:dyDescent="0.2">
      <c r="A88" t="s">
        <v>2</v>
      </c>
      <c r="B88" t="s">
        <v>15</v>
      </c>
      <c r="C88" t="s">
        <v>41</v>
      </c>
      <c r="D88" t="s">
        <v>64</v>
      </c>
      <c r="E88">
        <v>87</v>
      </c>
      <c r="F88" t="s">
        <v>22</v>
      </c>
    </row>
    <row r="89" spans="1:6" x14ac:dyDescent="0.2">
      <c r="A89" t="s">
        <v>2</v>
      </c>
      <c r="B89" t="s">
        <v>15</v>
      </c>
      <c r="C89" t="s">
        <v>42</v>
      </c>
      <c r="D89" t="s">
        <v>64</v>
      </c>
      <c r="E89">
        <v>74.7</v>
      </c>
      <c r="F89" t="s">
        <v>22</v>
      </c>
    </row>
    <row r="90" spans="1:6" x14ac:dyDescent="0.2">
      <c r="A90" t="s">
        <v>2</v>
      </c>
      <c r="B90" t="s">
        <v>15</v>
      </c>
      <c r="C90" t="s">
        <v>39</v>
      </c>
      <c r="D90" t="s">
        <v>64</v>
      </c>
      <c r="E90">
        <v>69.099999999999994</v>
      </c>
      <c r="F90" t="s">
        <v>22</v>
      </c>
    </row>
    <row r="91" spans="1:6" x14ac:dyDescent="0.2">
      <c r="A91" t="s">
        <v>2</v>
      </c>
      <c r="B91" t="s">
        <v>15</v>
      </c>
      <c r="C91" t="s">
        <v>43</v>
      </c>
      <c r="D91" t="s">
        <v>64</v>
      </c>
      <c r="E91">
        <v>58.3</v>
      </c>
      <c r="F91" t="s">
        <v>26</v>
      </c>
    </row>
    <row r="92" spans="1:6" x14ac:dyDescent="0.2">
      <c r="A92" t="s">
        <v>2</v>
      </c>
      <c r="B92" t="s">
        <v>15</v>
      </c>
      <c r="C92" t="s">
        <v>44</v>
      </c>
      <c r="D92" t="s">
        <v>64</v>
      </c>
      <c r="E92">
        <v>64.7</v>
      </c>
      <c r="F92" t="s">
        <v>29</v>
      </c>
    </row>
    <row r="93" spans="1:6" x14ac:dyDescent="0.2">
      <c r="A93" t="s">
        <v>2</v>
      </c>
      <c r="B93" t="s">
        <v>15</v>
      </c>
      <c r="C93" t="s">
        <v>45</v>
      </c>
      <c r="D93" t="s">
        <v>64</v>
      </c>
      <c r="E93">
        <v>80.3</v>
      </c>
      <c r="F93" t="s">
        <v>29</v>
      </c>
    </row>
    <row r="94" spans="1:6" x14ac:dyDescent="0.2">
      <c r="A94" t="s">
        <v>2</v>
      </c>
      <c r="B94" t="s">
        <v>15</v>
      </c>
      <c r="C94" t="s">
        <v>46</v>
      </c>
      <c r="D94" t="s">
        <v>64</v>
      </c>
      <c r="E94">
        <v>76.8</v>
      </c>
      <c r="F94" t="s">
        <v>29</v>
      </c>
    </row>
    <row r="95" spans="1:6" x14ac:dyDescent="0.2">
      <c r="A95" t="s">
        <v>2</v>
      </c>
      <c r="B95" t="s">
        <v>15</v>
      </c>
      <c r="C95" t="s">
        <v>47</v>
      </c>
      <c r="D95" t="s">
        <v>64</v>
      </c>
      <c r="E95">
        <v>71</v>
      </c>
      <c r="F95" t="s">
        <v>32</v>
      </c>
    </row>
    <row r="96" spans="1:6" x14ac:dyDescent="0.2">
      <c r="A96" t="s">
        <v>2</v>
      </c>
      <c r="B96" t="s">
        <v>15</v>
      </c>
      <c r="C96" t="s">
        <v>48</v>
      </c>
      <c r="D96" t="s">
        <v>64</v>
      </c>
      <c r="E96">
        <v>53.9</v>
      </c>
      <c r="F96" t="s">
        <v>35</v>
      </c>
    </row>
    <row r="97" spans="1:6" x14ac:dyDescent="0.2">
      <c r="A97" t="s">
        <v>2</v>
      </c>
      <c r="B97" t="s">
        <v>15</v>
      </c>
      <c r="C97" t="s">
        <v>49</v>
      </c>
      <c r="D97" t="s">
        <v>64</v>
      </c>
      <c r="E97">
        <v>68.400000000000006</v>
      </c>
      <c r="F97" t="s">
        <v>35</v>
      </c>
    </row>
    <row r="98" spans="1:6" x14ac:dyDescent="0.2">
      <c r="A98" t="s">
        <v>2</v>
      </c>
      <c r="B98" t="s">
        <v>15</v>
      </c>
      <c r="C98" t="s">
        <v>38</v>
      </c>
      <c r="D98" t="s">
        <v>65</v>
      </c>
      <c r="E98">
        <v>91.9</v>
      </c>
      <c r="F98" t="s">
        <v>18</v>
      </c>
    </row>
    <row r="99" spans="1:6" x14ac:dyDescent="0.2">
      <c r="A99" t="s">
        <v>2</v>
      </c>
      <c r="B99" t="s">
        <v>15</v>
      </c>
      <c r="C99" t="s">
        <v>40</v>
      </c>
      <c r="D99" t="s">
        <v>65</v>
      </c>
      <c r="E99">
        <v>66.8</v>
      </c>
      <c r="F99" t="s">
        <v>18</v>
      </c>
    </row>
    <row r="100" spans="1:6" x14ac:dyDescent="0.2">
      <c r="A100" t="s">
        <v>2</v>
      </c>
      <c r="B100" t="s">
        <v>15</v>
      </c>
      <c r="C100" t="s">
        <v>41</v>
      </c>
      <c r="D100" t="s">
        <v>65</v>
      </c>
      <c r="E100">
        <v>86.4</v>
      </c>
      <c r="F100" t="s">
        <v>22</v>
      </c>
    </row>
    <row r="101" spans="1:6" x14ac:dyDescent="0.2">
      <c r="A101" t="s">
        <v>2</v>
      </c>
      <c r="B101" t="s">
        <v>15</v>
      </c>
      <c r="C101" t="s">
        <v>42</v>
      </c>
      <c r="D101" t="s">
        <v>65</v>
      </c>
      <c r="E101">
        <v>83.5</v>
      </c>
      <c r="F101" t="s">
        <v>22</v>
      </c>
    </row>
    <row r="102" spans="1:6" x14ac:dyDescent="0.2">
      <c r="A102" t="s">
        <v>2</v>
      </c>
      <c r="B102" t="s">
        <v>15</v>
      </c>
      <c r="C102" t="s">
        <v>39</v>
      </c>
      <c r="D102" t="s">
        <v>65</v>
      </c>
      <c r="E102">
        <v>67.3</v>
      </c>
      <c r="F102" t="s">
        <v>22</v>
      </c>
    </row>
    <row r="103" spans="1:6" x14ac:dyDescent="0.2">
      <c r="A103" t="s">
        <v>2</v>
      </c>
      <c r="B103" t="s">
        <v>15</v>
      </c>
      <c r="C103" t="s">
        <v>43</v>
      </c>
      <c r="D103" t="s">
        <v>65</v>
      </c>
      <c r="E103">
        <v>76.5</v>
      </c>
      <c r="F103" t="s">
        <v>26</v>
      </c>
    </row>
    <row r="104" spans="1:6" x14ac:dyDescent="0.2">
      <c r="A104" t="s">
        <v>2</v>
      </c>
      <c r="B104" t="s">
        <v>15</v>
      </c>
      <c r="C104" t="s">
        <v>44</v>
      </c>
      <c r="D104" t="s">
        <v>65</v>
      </c>
      <c r="E104">
        <v>79</v>
      </c>
      <c r="F104" t="s">
        <v>29</v>
      </c>
    </row>
    <row r="105" spans="1:6" x14ac:dyDescent="0.2">
      <c r="A105" t="s">
        <v>2</v>
      </c>
      <c r="B105" t="s">
        <v>15</v>
      </c>
      <c r="C105" t="s">
        <v>45</v>
      </c>
      <c r="D105" t="s">
        <v>65</v>
      </c>
      <c r="E105">
        <v>78</v>
      </c>
      <c r="F105" t="s">
        <v>29</v>
      </c>
    </row>
    <row r="106" spans="1:6" x14ac:dyDescent="0.2">
      <c r="A106" t="s">
        <v>2</v>
      </c>
      <c r="B106" t="s">
        <v>15</v>
      </c>
      <c r="C106" t="s">
        <v>46</v>
      </c>
      <c r="D106" t="s">
        <v>65</v>
      </c>
      <c r="E106">
        <v>63.7</v>
      </c>
      <c r="F106" t="s">
        <v>29</v>
      </c>
    </row>
    <row r="107" spans="1:6" x14ac:dyDescent="0.2">
      <c r="A107" t="s">
        <v>2</v>
      </c>
      <c r="B107" t="s">
        <v>15</v>
      </c>
      <c r="C107" t="s">
        <v>47</v>
      </c>
      <c r="D107" t="s">
        <v>65</v>
      </c>
      <c r="E107">
        <v>76.7</v>
      </c>
      <c r="F107" t="s">
        <v>32</v>
      </c>
    </row>
    <row r="108" spans="1:6" x14ac:dyDescent="0.2">
      <c r="A108" t="s">
        <v>2</v>
      </c>
      <c r="B108" t="s">
        <v>15</v>
      </c>
      <c r="C108" t="s">
        <v>48</v>
      </c>
      <c r="D108" t="s">
        <v>65</v>
      </c>
      <c r="E108">
        <v>55.3</v>
      </c>
      <c r="F108" t="s">
        <v>35</v>
      </c>
    </row>
    <row r="109" spans="1:6" x14ac:dyDescent="0.2">
      <c r="A109" t="s">
        <v>2</v>
      </c>
      <c r="B109" t="s">
        <v>15</v>
      </c>
      <c r="C109" t="s">
        <v>49</v>
      </c>
      <c r="D109" t="s">
        <v>65</v>
      </c>
      <c r="E109">
        <v>70</v>
      </c>
      <c r="F109" t="s">
        <v>35</v>
      </c>
    </row>
    <row r="110" spans="1:6" x14ac:dyDescent="0.2">
      <c r="A110" t="s">
        <v>2</v>
      </c>
      <c r="B110" t="s">
        <v>15</v>
      </c>
      <c r="C110" t="s">
        <v>38</v>
      </c>
      <c r="D110" t="s">
        <v>66</v>
      </c>
      <c r="E110">
        <v>80</v>
      </c>
      <c r="F110" t="s">
        <v>18</v>
      </c>
    </row>
    <row r="111" spans="1:6" x14ac:dyDescent="0.2">
      <c r="A111" t="s">
        <v>2</v>
      </c>
      <c r="B111" t="s">
        <v>15</v>
      </c>
      <c r="C111" t="s">
        <v>40</v>
      </c>
      <c r="D111" t="s">
        <v>66</v>
      </c>
      <c r="E111">
        <v>78.7</v>
      </c>
      <c r="F111" t="s">
        <v>18</v>
      </c>
    </row>
    <row r="112" spans="1:6" x14ac:dyDescent="0.2">
      <c r="A112" t="s">
        <v>2</v>
      </c>
      <c r="B112" t="s">
        <v>15</v>
      </c>
      <c r="C112" t="s">
        <v>41</v>
      </c>
      <c r="D112" t="s">
        <v>66</v>
      </c>
      <c r="E112">
        <v>84.5</v>
      </c>
      <c r="F112" t="s">
        <v>22</v>
      </c>
    </row>
    <row r="113" spans="1:6" x14ac:dyDescent="0.2">
      <c r="A113" t="s">
        <v>2</v>
      </c>
      <c r="B113" t="s">
        <v>15</v>
      </c>
      <c r="C113" t="s">
        <v>42</v>
      </c>
      <c r="D113" t="s">
        <v>66</v>
      </c>
      <c r="E113">
        <v>68.599999999999994</v>
      </c>
      <c r="F113" t="s">
        <v>22</v>
      </c>
    </row>
    <row r="114" spans="1:6" x14ac:dyDescent="0.2">
      <c r="A114" t="s">
        <v>2</v>
      </c>
      <c r="B114" t="s">
        <v>15</v>
      </c>
      <c r="C114" t="s">
        <v>39</v>
      </c>
      <c r="D114" t="s">
        <v>66</v>
      </c>
      <c r="E114">
        <v>78.5</v>
      </c>
      <c r="F114" t="s">
        <v>22</v>
      </c>
    </row>
    <row r="115" spans="1:6" x14ac:dyDescent="0.2">
      <c r="A115" t="s">
        <v>2</v>
      </c>
      <c r="B115" t="s">
        <v>15</v>
      </c>
      <c r="C115" t="s">
        <v>43</v>
      </c>
      <c r="D115" t="s">
        <v>66</v>
      </c>
      <c r="E115">
        <v>61.8</v>
      </c>
      <c r="F115" t="s">
        <v>26</v>
      </c>
    </row>
    <row r="116" spans="1:6" x14ac:dyDescent="0.2">
      <c r="A116" t="s">
        <v>2</v>
      </c>
      <c r="B116" t="s">
        <v>15</v>
      </c>
      <c r="C116" t="s">
        <v>44</v>
      </c>
      <c r="D116" t="s">
        <v>66</v>
      </c>
      <c r="E116">
        <v>84.8</v>
      </c>
      <c r="F116" t="s">
        <v>29</v>
      </c>
    </row>
    <row r="117" spans="1:6" x14ac:dyDescent="0.2">
      <c r="A117" t="s">
        <v>2</v>
      </c>
      <c r="B117" t="s">
        <v>15</v>
      </c>
      <c r="C117" t="s">
        <v>45</v>
      </c>
      <c r="D117" t="s">
        <v>66</v>
      </c>
      <c r="E117">
        <v>86.6</v>
      </c>
      <c r="F117" t="s">
        <v>29</v>
      </c>
    </row>
    <row r="118" spans="1:6" x14ac:dyDescent="0.2">
      <c r="A118" t="s">
        <v>2</v>
      </c>
      <c r="B118" t="s">
        <v>15</v>
      </c>
      <c r="C118" t="s">
        <v>46</v>
      </c>
      <c r="D118" t="s">
        <v>66</v>
      </c>
      <c r="E118">
        <v>64.5</v>
      </c>
      <c r="F118" t="s">
        <v>29</v>
      </c>
    </row>
    <row r="119" spans="1:6" x14ac:dyDescent="0.2">
      <c r="A119" t="s">
        <v>2</v>
      </c>
      <c r="B119" t="s">
        <v>15</v>
      </c>
      <c r="C119" t="s">
        <v>47</v>
      </c>
      <c r="D119" t="s">
        <v>66</v>
      </c>
      <c r="E119">
        <v>76.599999999999994</v>
      </c>
      <c r="F119" t="s">
        <v>32</v>
      </c>
    </row>
    <row r="120" spans="1:6" x14ac:dyDescent="0.2">
      <c r="A120" t="s">
        <v>2</v>
      </c>
      <c r="B120" t="s">
        <v>15</v>
      </c>
      <c r="C120" t="s">
        <v>48</v>
      </c>
      <c r="D120" t="s">
        <v>66</v>
      </c>
      <c r="E120">
        <v>70.3</v>
      </c>
      <c r="F120" t="s">
        <v>35</v>
      </c>
    </row>
    <row r="121" spans="1:6" x14ac:dyDescent="0.2">
      <c r="A121" t="s">
        <v>2</v>
      </c>
      <c r="B121" t="s">
        <v>15</v>
      </c>
      <c r="C121" t="s">
        <v>49</v>
      </c>
      <c r="D121" t="s">
        <v>66</v>
      </c>
      <c r="E121">
        <v>61.6</v>
      </c>
      <c r="F121" t="s">
        <v>35</v>
      </c>
    </row>
    <row r="122" spans="1:6" x14ac:dyDescent="0.2">
      <c r="A122" t="s">
        <v>2</v>
      </c>
      <c r="B122" t="s">
        <v>15</v>
      </c>
      <c r="C122" t="s">
        <v>38</v>
      </c>
      <c r="D122" t="s">
        <v>67</v>
      </c>
      <c r="E122">
        <v>86.8</v>
      </c>
      <c r="F122" t="s">
        <v>18</v>
      </c>
    </row>
    <row r="123" spans="1:6" x14ac:dyDescent="0.2">
      <c r="A123" t="s">
        <v>2</v>
      </c>
      <c r="B123" t="s">
        <v>15</v>
      </c>
      <c r="C123" t="s">
        <v>40</v>
      </c>
      <c r="D123" t="s">
        <v>67</v>
      </c>
      <c r="E123">
        <v>67.099999999999994</v>
      </c>
      <c r="F123" t="s">
        <v>18</v>
      </c>
    </row>
    <row r="124" spans="1:6" x14ac:dyDescent="0.2">
      <c r="A124" t="s">
        <v>2</v>
      </c>
      <c r="B124" t="s">
        <v>15</v>
      </c>
      <c r="C124" t="s">
        <v>41</v>
      </c>
      <c r="D124" t="s">
        <v>67</v>
      </c>
      <c r="E124">
        <v>82.6</v>
      </c>
      <c r="F124" t="s">
        <v>22</v>
      </c>
    </row>
    <row r="125" spans="1:6" x14ac:dyDescent="0.2">
      <c r="A125" t="s">
        <v>2</v>
      </c>
      <c r="B125" t="s">
        <v>15</v>
      </c>
      <c r="C125" t="s">
        <v>42</v>
      </c>
      <c r="D125" t="s">
        <v>67</v>
      </c>
      <c r="E125">
        <v>75.3</v>
      </c>
      <c r="F125" t="s">
        <v>22</v>
      </c>
    </row>
    <row r="126" spans="1:6" x14ac:dyDescent="0.2">
      <c r="A126" t="s">
        <v>2</v>
      </c>
      <c r="B126" t="s">
        <v>15</v>
      </c>
      <c r="C126" t="s">
        <v>39</v>
      </c>
      <c r="D126" t="s">
        <v>67</v>
      </c>
      <c r="E126">
        <v>67</v>
      </c>
      <c r="F126" t="s">
        <v>22</v>
      </c>
    </row>
    <row r="127" spans="1:6" x14ac:dyDescent="0.2">
      <c r="A127" t="s">
        <v>2</v>
      </c>
      <c r="B127" t="s">
        <v>15</v>
      </c>
      <c r="C127" t="s">
        <v>43</v>
      </c>
      <c r="D127" t="s">
        <v>67</v>
      </c>
      <c r="E127">
        <v>65.8</v>
      </c>
      <c r="F127" t="s">
        <v>26</v>
      </c>
    </row>
    <row r="128" spans="1:6" x14ac:dyDescent="0.2">
      <c r="A128" t="s">
        <v>2</v>
      </c>
      <c r="B128" t="s">
        <v>15</v>
      </c>
      <c r="C128" t="s">
        <v>44</v>
      </c>
      <c r="D128" t="s">
        <v>67</v>
      </c>
      <c r="E128">
        <v>62.5</v>
      </c>
      <c r="F128" t="s">
        <v>29</v>
      </c>
    </row>
    <row r="129" spans="1:6" x14ac:dyDescent="0.2">
      <c r="A129" t="s">
        <v>2</v>
      </c>
      <c r="B129" t="s">
        <v>15</v>
      </c>
      <c r="C129" t="s">
        <v>45</v>
      </c>
      <c r="D129" t="s">
        <v>67</v>
      </c>
      <c r="E129">
        <v>88.2</v>
      </c>
      <c r="F129" t="s">
        <v>29</v>
      </c>
    </row>
    <row r="130" spans="1:6" x14ac:dyDescent="0.2">
      <c r="A130" t="s">
        <v>2</v>
      </c>
      <c r="B130" t="s">
        <v>15</v>
      </c>
      <c r="C130" t="s">
        <v>46</v>
      </c>
      <c r="D130" t="s">
        <v>67</v>
      </c>
      <c r="E130">
        <v>79</v>
      </c>
      <c r="F130" t="s">
        <v>29</v>
      </c>
    </row>
    <row r="131" spans="1:6" x14ac:dyDescent="0.2">
      <c r="A131" t="s">
        <v>2</v>
      </c>
      <c r="B131" t="s">
        <v>15</v>
      </c>
      <c r="C131" t="s">
        <v>47</v>
      </c>
      <c r="D131" t="s">
        <v>67</v>
      </c>
      <c r="E131">
        <v>81.599999999999994</v>
      </c>
      <c r="F131" t="s">
        <v>32</v>
      </c>
    </row>
    <row r="132" spans="1:6" x14ac:dyDescent="0.2">
      <c r="A132" t="s">
        <v>2</v>
      </c>
      <c r="B132" t="s">
        <v>15</v>
      </c>
      <c r="C132" t="s">
        <v>48</v>
      </c>
      <c r="D132" t="s">
        <v>67</v>
      </c>
      <c r="E132">
        <v>61.2</v>
      </c>
      <c r="F132" t="s">
        <v>35</v>
      </c>
    </row>
    <row r="133" spans="1:6" x14ac:dyDescent="0.2">
      <c r="A133" t="s">
        <v>2</v>
      </c>
      <c r="B133" t="s">
        <v>15</v>
      </c>
      <c r="C133" t="s">
        <v>49</v>
      </c>
      <c r="D133" t="s">
        <v>67</v>
      </c>
      <c r="E133">
        <v>58.7</v>
      </c>
      <c r="F133" t="s">
        <v>35</v>
      </c>
    </row>
    <row r="134" spans="1:6" x14ac:dyDescent="0.2">
      <c r="A134" t="s">
        <v>2</v>
      </c>
      <c r="B134" t="s">
        <v>15</v>
      </c>
      <c r="C134" t="s">
        <v>38</v>
      </c>
      <c r="D134" t="s">
        <v>68</v>
      </c>
      <c r="E134">
        <v>89.3</v>
      </c>
      <c r="F134" t="s">
        <v>18</v>
      </c>
    </row>
    <row r="135" spans="1:6" x14ac:dyDescent="0.2">
      <c r="A135" t="s">
        <v>2</v>
      </c>
      <c r="B135" t="s">
        <v>15</v>
      </c>
      <c r="C135" t="s">
        <v>40</v>
      </c>
      <c r="D135" t="s">
        <v>68</v>
      </c>
      <c r="E135">
        <v>78.5</v>
      </c>
      <c r="F135" t="s">
        <v>18</v>
      </c>
    </row>
    <row r="136" spans="1:6" x14ac:dyDescent="0.2">
      <c r="A136" t="s">
        <v>2</v>
      </c>
      <c r="B136" t="s">
        <v>15</v>
      </c>
      <c r="C136" t="s">
        <v>41</v>
      </c>
      <c r="D136" t="s">
        <v>68</v>
      </c>
      <c r="E136">
        <v>68.7</v>
      </c>
      <c r="F136" t="s">
        <v>22</v>
      </c>
    </row>
    <row r="137" spans="1:6" x14ac:dyDescent="0.2">
      <c r="A137" t="s">
        <v>2</v>
      </c>
      <c r="B137" t="s">
        <v>15</v>
      </c>
      <c r="C137" t="s">
        <v>42</v>
      </c>
      <c r="D137" t="s">
        <v>68</v>
      </c>
      <c r="E137">
        <v>74.099999999999994</v>
      </c>
      <c r="F137" t="s">
        <v>22</v>
      </c>
    </row>
    <row r="138" spans="1:6" x14ac:dyDescent="0.2">
      <c r="A138" t="s">
        <v>2</v>
      </c>
      <c r="B138" t="s">
        <v>15</v>
      </c>
      <c r="C138" t="s">
        <v>39</v>
      </c>
      <c r="D138" t="s">
        <v>68</v>
      </c>
      <c r="E138">
        <v>68.599999999999994</v>
      </c>
      <c r="F138" t="s">
        <v>22</v>
      </c>
    </row>
    <row r="139" spans="1:6" x14ac:dyDescent="0.2">
      <c r="A139" t="s">
        <v>2</v>
      </c>
      <c r="B139" t="s">
        <v>15</v>
      </c>
      <c r="C139" t="s">
        <v>43</v>
      </c>
      <c r="D139" t="s">
        <v>68</v>
      </c>
      <c r="E139">
        <v>77.5</v>
      </c>
      <c r="F139" t="s">
        <v>26</v>
      </c>
    </row>
    <row r="140" spans="1:6" x14ac:dyDescent="0.2">
      <c r="A140" t="s">
        <v>2</v>
      </c>
      <c r="B140" t="s">
        <v>15</v>
      </c>
      <c r="C140" t="s">
        <v>44</v>
      </c>
      <c r="D140" t="s">
        <v>68</v>
      </c>
      <c r="E140">
        <v>81.099999999999994</v>
      </c>
      <c r="F140" t="s">
        <v>29</v>
      </c>
    </row>
    <row r="141" spans="1:6" x14ac:dyDescent="0.2">
      <c r="A141" t="s">
        <v>2</v>
      </c>
      <c r="B141" t="s">
        <v>15</v>
      </c>
      <c r="C141" t="s">
        <v>45</v>
      </c>
      <c r="D141" t="s">
        <v>68</v>
      </c>
      <c r="E141">
        <v>67.3</v>
      </c>
      <c r="F141" t="s">
        <v>29</v>
      </c>
    </row>
    <row r="142" spans="1:6" x14ac:dyDescent="0.2">
      <c r="A142" t="s">
        <v>2</v>
      </c>
      <c r="B142" t="s">
        <v>15</v>
      </c>
      <c r="C142" t="s">
        <v>46</v>
      </c>
      <c r="D142" t="s">
        <v>68</v>
      </c>
      <c r="E142">
        <v>68.900000000000006</v>
      </c>
      <c r="F142" t="s">
        <v>29</v>
      </c>
    </row>
    <row r="143" spans="1:6" x14ac:dyDescent="0.2">
      <c r="A143" t="s">
        <v>2</v>
      </c>
      <c r="B143" t="s">
        <v>15</v>
      </c>
      <c r="C143" t="s">
        <v>47</v>
      </c>
      <c r="D143" t="s">
        <v>68</v>
      </c>
      <c r="E143">
        <v>74.3</v>
      </c>
      <c r="F143" t="s">
        <v>32</v>
      </c>
    </row>
    <row r="144" spans="1:6" x14ac:dyDescent="0.2">
      <c r="A144" t="s">
        <v>2</v>
      </c>
      <c r="B144" t="s">
        <v>15</v>
      </c>
      <c r="C144" t="s">
        <v>48</v>
      </c>
      <c r="D144" t="s">
        <v>68</v>
      </c>
      <c r="E144">
        <v>60</v>
      </c>
      <c r="F144" t="s">
        <v>35</v>
      </c>
    </row>
    <row r="145" spans="1:6" x14ac:dyDescent="0.2">
      <c r="A145" t="s">
        <v>2</v>
      </c>
      <c r="B145" t="s">
        <v>15</v>
      </c>
      <c r="C145" t="s">
        <v>49</v>
      </c>
      <c r="D145" t="s">
        <v>68</v>
      </c>
      <c r="E145">
        <v>83.2</v>
      </c>
      <c r="F145" t="s">
        <v>35</v>
      </c>
    </row>
    <row r="146" spans="1:6" x14ac:dyDescent="0.2">
      <c r="A146" t="s">
        <v>2</v>
      </c>
      <c r="B146" t="s">
        <v>15</v>
      </c>
      <c r="C146" t="s">
        <v>38</v>
      </c>
      <c r="D146" t="s">
        <v>69</v>
      </c>
      <c r="E146">
        <v>79.3</v>
      </c>
      <c r="F146" t="s">
        <v>18</v>
      </c>
    </row>
    <row r="147" spans="1:6" x14ac:dyDescent="0.2">
      <c r="A147" t="s">
        <v>2</v>
      </c>
      <c r="B147" t="s">
        <v>15</v>
      </c>
      <c r="C147" t="s">
        <v>40</v>
      </c>
      <c r="D147" t="s">
        <v>69</v>
      </c>
      <c r="E147">
        <v>57.9</v>
      </c>
      <c r="F147" t="s">
        <v>18</v>
      </c>
    </row>
    <row r="148" spans="1:6" x14ac:dyDescent="0.2">
      <c r="A148" t="s">
        <v>2</v>
      </c>
      <c r="B148" t="s">
        <v>15</v>
      </c>
      <c r="C148" t="s">
        <v>41</v>
      </c>
      <c r="D148" t="s">
        <v>69</v>
      </c>
      <c r="E148">
        <v>77.8</v>
      </c>
      <c r="F148" t="s">
        <v>22</v>
      </c>
    </row>
    <row r="149" spans="1:6" x14ac:dyDescent="0.2">
      <c r="A149" t="s">
        <v>2</v>
      </c>
      <c r="B149" t="s">
        <v>15</v>
      </c>
      <c r="C149" t="s">
        <v>42</v>
      </c>
      <c r="D149" t="s">
        <v>69</v>
      </c>
      <c r="E149">
        <v>80.2</v>
      </c>
      <c r="F149" t="s">
        <v>22</v>
      </c>
    </row>
    <row r="150" spans="1:6" x14ac:dyDescent="0.2">
      <c r="A150" t="s">
        <v>2</v>
      </c>
      <c r="B150" t="s">
        <v>15</v>
      </c>
      <c r="C150" t="s">
        <v>39</v>
      </c>
      <c r="D150" t="s">
        <v>69</v>
      </c>
      <c r="E150">
        <v>71.599999999999994</v>
      </c>
      <c r="F150" t="s">
        <v>22</v>
      </c>
    </row>
    <row r="151" spans="1:6" x14ac:dyDescent="0.2">
      <c r="A151" t="s">
        <v>2</v>
      </c>
      <c r="B151" t="s">
        <v>15</v>
      </c>
      <c r="C151" t="s">
        <v>43</v>
      </c>
      <c r="D151" t="s">
        <v>69</v>
      </c>
      <c r="E151">
        <v>65.400000000000006</v>
      </c>
      <c r="F151" t="s">
        <v>26</v>
      </c>
    </row>
    <row r="152" spans="1:6" x14ac:dyDescent="0.2">
      <c r="A152" t="s">
        <v>2</v>
      </c>
      <c r="B152" t="s">
        <v>15</v>
      </c>
      <c r="C152" t="s">
        <v>44</v>
      </c>
      <c r="D152" t="s">
        <v>69</v>
      </c>
      <c r="E152">
        <v>86.9</v>
      </c>
      <c r="F152" t="s">
        <v>29</v>
      </c>
    </row>
    <row r="153" spans="1:6" x14ac:dyDescent="0.2">
      <c r="A153" t="s">
        <v>2</v>
      </c>
      <c r="B153" t="s">
        <v>15</v>
      </c>
      <c r="C153" t="s">
        <v>45</v>
      </c>
      <c r="D153" t="s">
        <v>69</v>
      </c>
      <c r="E153">
        <v>80.900000000000006</v>
      </c>
      <c r="F153" t="s">
        <v>29</v>
      </c>
    </row>
    <row r="154" spans="1:6" x14ac:dyDescent="0.2">
      <c r="A154" t="s">
        <v>2</v>
      </c>
      <c r="B154" t="s">
        <v>15</v>
      </c>
      <c r="C154" t="s">
        <v>46</v>
      </c>
      <c r="D154" t="s">
        <v>69</v>
      </c>
      <c r="E154">
        <v>68</v>
      </c>
      <c r="F154" t="s">
        <v>29</v>
      </c>
    </row>
    <row r="155" spans="1:6" x14ac:dyDescent="0.2">
      <c r="A155" t="s">
        <v>2</v>
      </c>
      <c r="B155" t="s">
        <v>15</v>
      </c>
      <c r="C155" t="s">
        <v>47</v>
      </c>
      <c r="D155" t="s">
        <v>69</v>
      </c>
      <c r="E155">
        <v>73.5</v>
      </c>
      <c r="F155" t="s">
        <v>32</v>
      </c>
    </row>
    <row r="156" spans="1:6" x14ac:dyDescent="0.2">
      <c r="A156" t="s">
        <v>2</v>
      </c>
      <c r="B156" t="s">
        <v>15</v>
      </c>
      <c r="C156" t="s">
        <v>48</v>
      </c>
      <c r="D156" t="s">
        <v>69</v>
      </c>
      <c r="E156">
        <v>55.6</v>
      </c>
      <c r="F156" t="s">
        <v>35</v>
      </c>
    </row>
    <row r="157" spans="1:6" x14ac:dyDescent="0.2">
      <c r="A157" t="s">
        <v>2</v>
      </c>
      <c r="B157" t="s">
        <v>15</v>
      </c>
      <c r="C157" t="s">
        <v>49</v>
      </c>
      <c r="D157" t="s">
        <v>69</v>
      </c>
      <c r="E157">
        <v>63.7</v>
      </c>
      <c r="F157" t="s">
        <v>35</v>
      </c>
    </row>
    <row r="158" spans="1:6" x14ac:dyDescent="0.2">
      <c r="A158" t="s">
        <v>2</v>
      </c>
      <c r="B158" t="s">
        <v>15</v>
      </c>
      <c r="C158" t="s">
        <v>38</v>
      </c>
      <c r="D158" t="s">
        <v>70</v>
      </c>
      <c r="E158">
        <v>77.400000000000006</v>
      </c>
      <c r="F158" t="s">
        <v>18</v>
      </c>
    </row>
    <row r="159" spans="1:6" x14ac:dyDescent="0.2">
      <c r="A159" t="s">
        <v>2</v>
      </c>
      <c r="B159" t="s">
        <v>15</v>
      </c>
      <c r="C159" t="s">
        <v>40</v>
      </c>
      <c r="D159" t="s">
        <v>70</v>
      </c>
      <c r="E159">
        <v>68.5</v>
      </c>
      <c r="F159" t="s">
        <v>18</v>
      </c>
    </row>
    <row r="160" spans="1:6" x14ac:dyDescent="0.2">
      <c r="A160" t="s">
        <v>2</v>
      </c>
      <c r="B160" t="s">
        <v>15</v>
      </c>
      <c r="C160" t="s">
        <v>41</v>
      </c>
      <c r="D160" t="s">
        <v>70</v>
      </c>
      <c r="E160">
        <v>71.599999999999994</v>
      </c>
      <c r="F160" t="s">
        <v>22</v>
      </c>
    </row>
    <row r="161" spans="1:6" x14ac:dyDescent="0.2">
      <c r="A161" t="s">
        <v>2</v>
      </c>
      <c r="B161" t="s">
        <v>15</v>
      </c>
      <c r="C161" t="s">
        <v>42</v>
      </c>
      <c r="D161" t="s">
        <v>70</v>
      </c>
      <c r="E161">
        <v>67.5</v>
      </c>
      <c r="F161" t="s">
        <v>22</v>
      </c>
    </row>
    <row r="162" spans="1:6" x14ac:dyDescent="0.2">
      <c r="A162" t="s">
        <v>2</v>
      </c>
      <c r="B162" t="s">
        <v>15</v>
      </c>
      <c r="C162" t="s">
        <v>39</v>
      </c>
      <c r="D162" t="s">
        <v>70</v>
      </c>
      <c r="E162">
        <v>68.599999999999994</v>
      </c>
      <c r="F162" t="s">
        <v>22</v>
      </c>
    </row>
    <row r="163" spans="1:6" x14ac:dyDescent="0.2">
      <c r="A163" t="s">
        <v>2</v>
      </c>
      <c r="B163" t="s">
        <v>15</v>
      </c>
      <c r="C163" t="s">
        <v>43</v>
      </c>
      <c r="D163" t="s">
        <v>70</v>
      </c>
      <c r="E163">
        <v>74</v>
      </c>
      <c r="F163" t="s">
        <v>26</v>
      </c>
    </row>
    <row r="164" spans="1:6" x14ac:dyDescent="0.2">
      <c r="A164" t="s">
        <v>2</v>
      </c>
      <c r="B164" t="s">
        <v>15</v>
      </c>
      <c r="C164" t="s">
        <v>44</v>
      </c>
      <c r="D164" t="s">
        <v>70</v>
      </c>
      <c r="E164">
        <v>67.7</v>
      </c>
      <c r="F164" t="s">
        <v>29</v>
      </c>
    </row>
    <row r="165" spans="1:6" x14ac:dyDescent="0.2">
      <c r="A165" t="s">
        <v>2</v>
      </c>
      <c r="B165" t="s">
        <v>15</v>
      </c>
      <c r="C165" t="s">
        <v>45</v>
      </c>
      <c r="D165" t="s">
        <v>70</v>
      </c>
      <c r="E165">
        <v>87.5</v>
      </c>
      <c r="F165" t="s">
        <v>29</v>
      </c>
    </row>
    <row r="166" spans="1:6" x14ac:dyDescent="0.2">
      <c r="A166" t="s">
        <v>2</v>
      </c>
      <c r="B166" t="s">
        <v>15</v>
      </c>
      <c r="C166" t="s">
        <v>46</v>
      </c>
      <c r="D166" t="s">
        <v>70</v>
      </c>
      <c r="E166">
        <v>78.5</v>
      </c>
      <c r="F166" t="s">
        <v>29</v>
      </c>
    </row>
    <row r="167" spans="1:6" x14ac:dyDescent="0.2">
      <c r="A167" t="s">
        <v>2</v>
      </c>
      <c r="B167" t="s">
        <v>15</v>
      </c>
      <c r="C167" t="s">
        <v>47</v>
      </c>
      <c r="D167" t="s">
        <v>70</v>
      </c>
      <c r="E167">
        <v>61.8</v>
      </c>
      <c r="F167" t="s">
        <v>32</v>
      </c>
    </row>
    <row r="168" spans="1:6" x14ac:dyDescent="0.2">
      <c r="A168" t="s">
        <v>2</v>
      </c>
      <c r="B168" t="s">
        <v>15</v>
      </c>
      <c r="C168" t="s">
        <v>48</v>
      </c>
      <c r="D168" t="s">
        <v>70</v>
      </c>
      <c r="E168">
        <v>59.1</v>
      </c>
      <c r="F168" t="s">
        <v>35</v>
      </c>
    </row>
    <row r="169" spans="1:6" x14ac:dyDescent="0.2">
      <c r="A169" t="s">
        <v>2</v>
      </c>
      <c r="B169" t="s">
        <v>15</v>
      </c>
      <c r="C169" t="s">
        <v>49</v>
      </c>
      <c r="D169" t="s">
        <v>70</v>
      </c>
      <c r="E169">
        <v>77.099999999999994</v>
      </c>
      <c r="F169" t="s">
        <v>35</v>
      </c>
    </row>
    <row r="170" spans="1:6" x14ac:dyDescent="0.2">
      <c r="A170" t="s">
        <v>4</v>
      </c>
      <c r="B170" t="s">
        <v>15</v>
      </c>
      <c r="C170" t="s">
        <v>38</v>
      </c>
      <c r="D170" t="s">
        <v>64</v>
      </c>
      <c r="E170">
        <v>69.7</v>
      </c>
      <c r="F170" t="s">
        <v>18</v>
      </c>
    </row>
    <row r="171" spans="1:6" x14ac:dyDescent="0.2">
      <c r="A171" t="s">
        <v>4</v>
      </c>
      <c r="B171" t="s">
        <v>15</v>
      </c>
      <c r="C171" t="s">
        <v>40</v>
      </c>
      <c r="D171" t="s">
        <v>64</v>
      </c>
      <c r="E171">
        <v>50.7</v>
      </c>
      <c r="F171" t="s">
        <v>18</v>
      </c>
    </row>
    <row r="172" spans="1:6" x14ac:dyDescent="0.2">
      <c r="A172" t="s">
        <v>4</v>
      </c>
      <c r="B172" t="s">
        <v>15</v>
      </c>
      <c r="C172" t="s">
        <v>41</v>
      </c>
      <c r="D172" t="s">
        <v>64</v>
      </c>
      <c r="E172">
        <v>80.7</v>
      </c>
      <c r="F172" t="s">
        <v>22</v>
      </c>
    </row>
    <row r="173" spans="1:6" x14ac:dyDescent="0.2">
      <c r="A173" t="s">
        <v>4</v>
      </c>
      <c r="B173" t="s">
        <v>15</v>
      </c>
      <c r="C173" t="s">
        <v>42</v>
      </c>
      <c r="D173" t="s">
        <v>64</v>
      </c>
      <c r="E173">
        <v>71.3</v>
      </c>
      <c r="F173" t="s">
        <v>22</v>
      </c>
    </row>
    <row r="174" spans="1:6" x14ac:dyDescent="0.2">
      <c r="A174" t="s">
        <v>4</v>
      </c>
      <c r="B174" t="s">
        <v>15</v>
      </c>
      <c r="C174" t="s">
        <v>39</v>
      </c>
      <c r="D174" t="s">
        <v>64</v>
      </c>
      <c r="E174">
        <v>72.900000000000006</v>
      </c>
      <c r="F174" t="s">
        <v>22</v>
      </c>
    </row>
    <row r="175" spans="1:6" x14ac:dyDescent="0.2">
      <c r="A175" t="s">
        <v>4</v>
      </c>
      <c r="B175" t="s">
        <v>15</v>
      </c>
      <c r="C175" t="s">
        <v>43</v>
      </c>
      <c r="D175" t="s">
        <v>64</v>
      </c>
      <c r="E175">
        <v>73.2</v>
      </c>
      <c r="F175" t="s">
        <v>26</v>
      </c>
    </row>
    <row r="176" spans="1:6" x14ac:dyDescent="0.2">
      <c r="A176" t="s">
        <v>4</v>
      </c>
      <c r="B176" t="s">
        <v>15</v>
      </c>
      <c r="C176" t="s">
        <v>44</v>
      </c>
      <c r="D176" t="s">
        <v>64</v>
      </c>
      <c r="E176">
        <v>77.2</v>
      </c>
      <c r="F176" t="s">
        <v>29</v>
      </c>
    </row>
    <row r="177" spans="1:6" x14ac:dyDescent="0.2">
      <c r="A177" t="s">
        <v>4</v>
      </c>
      <c r="B177" t="s">
        <v>15</v>
      </c>
      <c r="C177" t="s">
        <v>45</v>
      </c>
      <c r="D177" t="s">
        <v>64</v>
      </c>
      <c r="E177">
        <v>64</v>
      </c>
      <c r="F177" t="s">
        <v>29</v>
      </c>
    </row>
    <row r="178" spans="1:6" x14ac:dyDescent="0.2">
      <c r="A178" t="s">
        <v>4</v>
      </c>
      <c r="B178" t="s">
        <v>15</v>
      </c>
      <c r="C178" t="s">
        <v>46</v>
      </c>
      <c r="D178" t="s">
        <v>64</v>
      </c>
      <c r="E178">
        <v>54.4</v>
      </c>
      <c r="F178" t="s">
        <v>29</v>
      </c>
    </row>
    <row r="179" spans="1:6" x14ac:dyDescent="0.2">
      <c r="A179" t="s">
        <v>4</v>
      </c>
      <c r="B179" t="s">
        <v>15</v>
      </c>
      <c r="C179" t="s">
        <v>47</v>
      </c>
      <c r="D179" t="s">
        <v>64</v>
      </c>
      <c r="E179">
        <v>66.2</v>
      </c>
      <c r="F179" t="s">
        <v>32</v>
      </c>
    </row>
    <row r="180" spans="1:6" x14ac:dyDescent="0.2">
      <c r="A180" t="s">
        <v>4</v>
      </c>
      <c r="B180" t="s">
        <v>15</v>
      </c>
      <c r="C180" t="s">
        <v>48</v>
      </c>
      <c r="D180" t="s">
        <v>64</v>
      </c>
      <c r="E180">
        <v>59.7</v>
      </c>
      <c r="F180" t="s">
        <v>35</v>
      </c>
    </row>
    <row r="181" spans="1:6" x14ac:dyDescent="0.2">
      <c r="A181" t="s">
        <v>4</v>
      </c>
      <c r="B181" t="s">
        <v>15</v>
      </c>
      <c r="C181" t="s">
        <v>49</v>
      </c>
      <c r="D181" t="s">
        <v>64</v>
      </c>
      <c r="E181">
        <v>66</v>
      </c>
      <c r="F181" t="s">
        <v>35</v>
      </c>
    </row>
    <row r="182" spans="1:6" x14ac:dyDescent="0.2">
      <c r="A182" t="s">
        <v>4</v>
      </c>
      <c r="B182" t="s">
        <v>15</v>
      </c>
      <c r="C182" t="s">
        <v>38</v>
      </c>
      <c r="D182" t="s">
        <v>65</v>
      </c>
      <c r="E182">
        <v>81</v>
      </c>
      <c r="F182" t="s">
        <v>18</v>
      </c>
    </row>
    <row r="183" spans="1:6" x14ac:dyDescent="0.2">
      <c r="A183" t="s">
        <v>4</v>
      </c>
      <c r="B183" t="s">
        <v>15</v>
      </c>
      <c r="C183" t="s">
        <v>40</v>
      </c>
      <c r="D183" t="s">
        <v>65</v>
      </c>
      <c r="E183">
        <v>65.900000000000006</v>
      </c>
      <c r="F183" t="s">
        <v>18</v>
      </c>
    </row>
    <row r="184" spans="1:6" x14ac:dyDescent="0.2">
      <c r="A184" t="s">
        <v>4</v>
      </c>
      <c r="B184" t="s">
        <v>15</v>
      </c>
      <c r="C184" t="s">
        <v>41</v>
      </c>
      <c r="D184" t="s">
        <v>65</v>
      </c>
      <c r="E184">
        <v>81.7</v>
      </c>
      <c r="F184" t="s">
        <v>22</v>
      </c>
    </row>
    <row r="185" spans="1:6" x14ac:dyDescent="0.2">
      <c r="A185" t="s">
        <v>4</v>
      </c>
      <c r="B185" t="s">
        <v>15</v>
      </c>
      <c r="C185" t="s">
        <v>42</v>
      </c>
      <c r="D185" t="s">
        <v>65</v>
      </c>
      <c r="E185">
        <v>59.5</v>
      </c>
      <c r="F185" t="s">
        <v>22</v>
      </c>
    </row>
    <row r="186" spans="1:6" x14ac:dyDescent="0.2">
      <c r="A186" t="s">
        <v>4</v>
      </c>
      <c r="B186" t="s">
        <v>15</v>
      </c>
      <c r="C186" t="s">
        <v>39</v>
      </c>
      <c r="D186" t="s">
        <v>65</v>
      </c>
      <c r="E186">
        <v>71.3</v>
      </c>
      <c r="F186" t="s">
        <v>22</v>
      </c>
    </row>
    <row r="187" spans="1:6" x14ac:dyDescent="0.2">
      <c r="A187" t="s">
        <v>4</v>
      </c>
      <c r="B187" t="s">
        <v>15</v>
      </c>
      <c r="C187" t="s">
        <v>43</v>
      </c>
      <c r="D187" t="s">
        <v>65</v>
      </c>
      <c r="E187">
        <v>61.2</v>
      </c>
      <c r="F187" t="s">
        <v>26</v>
      </c>
    </row>
    <row r="188" spans="1:6" x14ac:dyDescent="0.2">
      <c r="A188" t="s">
        <v>4</v>
      </c>
      <c r="B188" t="s">
        <v>15</v>
      </c>
      <c r="C188" t="s">
        <v>44</v>
      </c>
      <c r="D188" t="s">
        <v>65</v>
      </c>
      <c r="E188">
        <v>78.5</v>
      </c>
      <c r="F188" t="s">
        <v>29</v>
      </c>
    </row>
    <row r="189" spans="1:6" x14ac:dyDescent="0.2">
      <c r="A189" t="s">
        <v>4</v>
      </c>
      <c r="B189" t="s">
        <v>15</v>
      </c>
      <c r="C189" t="s">
        <v>45</v>
      </c>
      <c r="D189" t="s">
        <v>65</v>
      </c>
      <c r="E189">
        <v>65.5</v>
      </c>
      <c r="F189" t="s">
        <v>29</v>
      </c>
    </row>
    <row r="190" spans="1:6" x14ac:dyDescent="0.2">
      <c r="A190" t="s">
        <v>4</v>
      </c>
      <c r="B190" t="s">
        <v>15</v>
      </c>
      <c r="C190" t="s">
        <v>46</v>
      </c>
      <c r="D190" t="s">
        <v>65</v>
      </c>
      <c r="E190">
        <v>56.8</v>
      </c>
      <c r="F190" t="s">
        <v>29</v>
      </c>
    </row>
    <row r="191" spans="1:6" x14ac:dyDescent="0.2">
      <c r="A191" t="s">
        <v>4</v>
      </c>
      <c r="B191" t="s">
        <v>15</v>
      </c>
      <c r="C191" t="s">
        <v>47</v>
      </c>
      <c r="D191" t="s">
        <v>65</v>
      </c>
      <c r="E191">
        <v>66.7</v>
      </c>
      <c r="F191" t="s">
        <v>32</v>
      </c>
    </row>
    <row r="192" spans="1:6" x14ac:dyDescent="0.2">
      <c r="A192" t="s">
        <v>4</v>
      </c>
      <c r="B192" t="s">
        <v>15</v>
      </c>
      <c r="C192" t="s">
        <v>48</v>
      </c>
      <c r="D192" t="s">
        <v>65</v>
      </c>
      <c r="E192">
        <v>59.7</v>
      </c>
      <c r="F192" t="s">
        <v>35</v>
      </c>
    </row>
    <row r="193" spans="1:6" x14ac:dyDescent="0.2">
      <c r="A193" t="s">
        <v>4</v>
      </c>
      <c r="B193" t="s">
        <v>15</v>
      </c>
      <c r="C193" t="s">
        <v>49</v>
      </c>
      <c r="D193" t="s">
        <v>65</v>
      </c>
      <c r="E193">
        <v>60.4</v>
      </c>
      <c r="F193" t="s">
        <v>35</v>
      </c>
    </row>
    <row r="194" spans="1:6" x14ac:dyDescent="0.2">
      <c r="A194" t="s">
        <v>4</v>
      </c>
      <c r="B194" t="s">
        <v>15</v>
      </c>
      <c r="C194" t="s">
        <v>38</v>
      </c>
      <c r="D194" t="s">
        <v>66</v>
      </c>
      <c r="E194">
        <v>70.5</v>
      </c>
      <c r="F194" t="s">
        <v>18</v>
      </c>
    </row>
    <row r="195" spans="1:6" x14ac:dyDescent="0.2">
      <c r="A195" t="s">
        <v>4</v>
      </c>
      <c r="B195" t="s">
        <v>15</v>
      </c>
      <c r="C195" t="s">
        <v>40</v>
      </c>
      <c r="D195" t="s">
        <v>66</v>
      </c>
      <c r="E195">
        <v>72.900000000000006</v>
      </c>
      <c r="F195" t="s">
        <v>18</v>
      </c>
    </row>
    <row r="196" spans="1:6" x14ac:dyDescent="0.2">
      <c r="A196" t="s">
        <v>4</v>
      </c>
      <c r="B196" t="s">
        <v>15</v>
      </c>
      <c r="C196" t="s">
        <v>41</v>
      </c>
      <c r="D196" t="s">
        <v>66</v>
      </c>
      <c r="E196">
        <v>70.900000000000006</v>
      </c>
      <c r="F196" t="s">
        <v>22</v>
      </c>
    </row>
    <row r="197" spans="1:6" x14ac:dyDescent="0.2">
      <c r="A197" t="s">
        <v>4</v>
      </c>
      <c r="B197" t="s">
        <v>15</v>
      </c>
      <c r="C197" t="s">
        <v>42</v>
      </c>
      <c r="D197" t="s">
        <v>66</v>
      </c>
      <c r="E197">
        <v>78.5</v>
      </c>
      <c r="F197" t="s">
        <v>22</v>
      </c>
    </row>
    <row r="198" spans="1:6" x14ac:dyDescent="0.2">
      <c r="A198" t="s">
        <v>4</v>
      </c>
      <c r="B198" t="s">
        <v>15</v>
      </c>
      <c r="C198" t="s">
        <v>39</v>
      </c>
      <c r="D198" t="s">
        <v>66</v>
      </c>
      <c r="E198">
        <v>74.7</v>
      </c>
      <c r="F198" t="s">
        <v>22</v>
      </c>
    </row>
    <row r="199" spans="1:6" x14ac:dyDescent="0.2">
      <c r="A199" t="s">
        <v>4</v>
      </c>
      <c r="B199" t="s">
        <v>15</v>
      </c>
      <c r="C199" t="s">
        <v>43</v>
      </c>
      <c r="D199" t="s">
        <v>66</v>
      </c>
      <c r="E199">
        <v>53.4</v>
      </c>
      <c r="F199" t="s">
        <v>26</v>
      </c>
    </row>
    <row r="200" spans="1:6" x14ac:dyDescent="0.2">
      <c r="A200" t="s">
        <v>4</v>
      </c>
      <c r="B200" t="s">
        <v>15</v>
      </c>
      <c r="C200" t="s">
        <v>44</v>
      </c>
      <c r="D200" t="s">
        <v>66</v>
      </c>
      <c r="E200">
        <v>82</v>
      </c>
      <c r="F200" t="s">
        <v>29</v>
      </c>
    </row>
    <row r="201" spans="1:6" x14ac:dyDescent="0.2">
      <c r="A201" t="s">
        <v>4</v>
      </c>
      <c r="B201" t="s">
        <v>15</v>
      </c>
      <c r="C201" t="s">
        <v>45</v>
      </c>
      <c r="D201" t="s">
        <v>66</v>
      </c>
      <c r="E201">
        <v>80.7</v>
      </c>
      <c r="F201" t="s">
        <v>29</v>
      </c>
    </row>
    <row r="202" spans="1:6" x14ac:dyDescent="0.2">
      <c r="A202" t="s">
        <v>4</v>
      </c>
      <c r="B202" t="s">
        <v>15</v>
      </c>
      <c r="C202" t="s">
        <v>46</v>
      </c>
      <c r="D202" t="s">
        <v>66</v>
      </c>
      <c r="E202">
        <v>76.2</v>
      </c>
      <c r="F202" t="s">
        <v>29</v>
      </c>
    </row>
    <row r="203" spans="1:6" x14ac:dyDescent="0.2">
      <c r="A203" t="s">
        <v>4</v>
      </c>
      <c r="B203" t="s">
        <v>15</v>
      </c>
      <c r="C203" t="s">
        <v>47</v>
      </c>
      <c r="D203" t="s">
        <v>66</v>
      </c>
      <c r="E203">
        <v>79.099999999999994</v>
      </c>
      <c r="F203" t="s">
        <v>32</v>
      </c>
    </row>
    <row r="204" spans="1:6" x14ac:dyDescent="0.2">
      <c r="A204" t="s">
        <v>4</v>
      </c>
      <c r="B204" t="s">
        <v>15</v>
      </c>
      <c r="C204" t="s">
        <v>48</v>
      </c>
      <c r="D204" t="s">
        <v>66</v>
      </c>
      <c r="E204">
        <v>72.5</v>
      </c>
      <c r="F204" t="s">
        <v>35</v>
      </c>
    </row>
    <row r="205" spans="1:6" x14ac:dyDescent="0.2">
      <c r="A205" t="s">
        <v>4</v>
      </c>
      <c r="B205" t="s">
        <v>15</v>
      </c>
      <c r="C205" t="s">
        <v>49</v>
      </c>
      <c r="D205" t="s">
        <v>66</v>
      </c>
      <c r="E205">
        <v>57</v>
      </c>
      <c r="F205" t="s">
        <v>35</v>
      </c>
    </row>
    <row r="206" spans="1:6" x14ac:dyDescent="0.2">
      <c r="A206" t="s">
        <v>4</v>
      </c>
      <c r="B206" t="s">
        <v>15</v>
      </c>
      <c r="C206" t="s">
        <v>38</v>
      </c>
      <c r="D206" t="s">
        <v>67</v>
      </c>
      <c r="E206">
        <v>75.7</v>
      </c>
      <c r="F206" t="s">
        <v>18</v>
      </c>
    </row>
    <row r="207" spans="1:6" x14ac:dyDescent="0.2">
      <c r="A207" t="s">
        <v>4</v>
      </c>
      <c r="B207" t="s">
        <v>15</v>
      </c>
      <c r="C207" t="s">
        <v>40</v>
      </c>
      <c r="D207" t="s">
        <v>67</v>
      </c>
      <c r="E207">
        <v>53</v>
      </c>
      <c r="F207" t="s">
        <v>18</v>
      </c>
    </row>
    <row r="208" spans="1:6" x14ac:dyDescent="0.2">
      <c r="A208" t="s">
        <v>4</v>
      </c>
      <c r="B208" t="s">
        <v>15</v>
      </c>
      <c r="C208" t="s">
        <v>41</v>
      </c>
      <c r="D208" t="s">
        <v>67</v>
      </c>
      <c r="E208">
        <v>70</v>
      </c>
      <c r="F208" t="s">
        <v>22</v>
      </c>
    </row>
    <row r="209" spans="1:6" x14ac:dyDescent="0.2">
      <c r="A209" t="s">
        <v>4</v>
      </c>
      <c r="B209" t="s">
        <v>15</v>
      </c>
      <c r="C209" t="s">
        <v>42</v>
      </c>
      <c r="D209" t="s">
        <v>67</v>
      </c>
      <c r="E209">
        <v>58.5</v>
      </c>
      <c r="F209" t="s">
        <v>22</v>
      </c>
    </row>
    <row r="210" spans="1:6" x14ac:dyDescent="0.2">
      <c r="A210" t="s">
        <v>4</v>
      </c>
      <c r="B210" t="s">
        <v>15</v>
      </c>
      <c r="C210" t="s">
        <v>39</v>
      </c>
      <c r="D210" t="s">
        <v>67</v>
      </c>
      <c r="E210">
        <v>70.7</v>
      </c>
      <c r="F210" t="s">
        <v>22</v>
      </c>
    </row>
    <row r="211" spans="1:6" x14ac:dyDescent="0.2">
      <c r="A211" t="s">
        <v>4</v>
      </c>
      <c r="B211" t="s">
        <v>15</v>
      </c>
      <c r="C211" t="s">
        <v>43</v>
      </c>
      <c r="D211" t="s">
        <v>67</v>
      </c>
      <c r="E211">
        <v>78.599999999999994</v>
      </c>
      <c r="F211" t="s">
        <v>26</v>
      </c>
    </row>
    <row r="212" spans="1:6" x14ac:dyDescent="0.2">
      <c r="A212" t="s">
        <v>4</v>
      </c>
      <c r="B212" t="s">
        <v>15</v>
      </c>
      <c r="C212" t="s">
        <v>44</v>
      </c>
      <c r="D212" t="s">
        <v>67</v>
      </c>
      <c r="E212">
        <v>63.6</v>
      </c>
      <c r="F212" t="s">
        <v>29</v>
      </c>
    </row>
    <row r="213" spans="1:6" x14ac:dyDescent="0.2">
      <c r="A213" t="s">
        <v>4</v>
      </c>
      <c r="B213" t="s">
        <v>15</v>
      </c>
      <c r="C213" t="s">
        <v>45</v>
      </c>
      <c r="D213" t="s">
        <v>67</v>
      </c>
      <c r="E213">
        <v>79.400000000000006</v>
      </c>
      <c r="F213" t="s">
        <v>29</v>
      </c>
    </row>
    <row r="214" spans="1:6" x14ac:dyDescent="0.2">
      <c r="A214" t="s">
        <v>4</v>
      </c>
      <c r="B214" t="s">
        <v>15</v>
      </c>
      <c r="C214" t="s">
        <v>46</v>
      </c>
      <c r="D214" t="s">
        <v>67</v>
      </c>
      <c r="E214">
        <v>63.4</v>
      </c>
      <c r="F214" t="s">
        <v>29</v>
      </c>
    </row>
    <row r="215" spans="1:6" x14ac:dyDescent="0.2">
      <c r="A215" t="s">
        <v>4</v>
      </c>
      <c r="B215" t="s">
        <v>15</v>
      </c>
      <c r="C215" t="s">
        <v>47</v>
      </c>
      <c r="D215" t="s">
        <v>67</v>
      </c>
      <c r="E215">
        <v>66</v>
      </c>
      <c r="F215" t="s">
        <v>32</v>
      </c>
    </row>
    <row r="216" spans="1:6" x14ac:dyDescent="0.2">
      <c r="A216" t="s">
        <v>4</v>
      </c>
      <c r="B216" t="s">
        <v>15</v>
      </c>
      <c r="C216" t="s">
        <v>48</v>
      </c>
      <c r="D216" t="s">
        <v>67</v>
      </c>
      <c r="E216">
        <v>75.7</v>
      </c>
      <c r="F216" t="s">
        <v>35</v>
      </c>
    </row>
    <row r="217" spans="1:6" x14ac:dyDescent="0.2">
      <c r="A217" t="s">
        <v>4</v>
      </c>
      <c r="B217" t="s">
        <v>15</v>
      </c>
      <c r="C217" t="s">
        <v>49</v>
      </c>
      <c r="D217" t="s">
        <v>67</v>
      </c>
      <c r="E217">
        <v>81.900000000000006</v>
      </c>
      <c r="F217" t="s">
        <v>35</v>
      </c>
    </row>
    <row r="218" spans="1:6" x14ac:dyDescent="0.2">
      <c r="A218" t="s">
        <v>4</v>
      </c>
      <c r="B218" t="s">
        <v>15</v>
      </c>
      <c r="C218" t="s">
        <v>38</v>
      </c>
      <c r="D218" t="s">
        <v>68</v>
      </c>
      <c r="E218">
        <v>77.2</v>
      </c>
      <c r="F218" t="s">
        <v>18</v>
      </c>
    </row>
    <row r="219" spans="1:6" x14ac:dyDescent="0.2">
      <c r="A219" t="s">
        <v>4</v>
      </c>
      <c r="B219" t="s">
        <v>15</v>
      </c>
      <c r="C219" t="s">
        <v>40</v>
      </c>
      <c r="D219" t="s">
        <v>68</v>
      </c>
      <c r="E219">
        <v>67.099999999999994</v>
      </c>
      <c r="F219" t="s">
        <v>18</v>
      </c>
    </row>
    <row r="220" spans="1:6" x14ac:dyDescent="0.2">
      <c r="A220" t="s">
        <v>4</v>
      </c>
      <c r="B220" t="s">
        <v>15</v>
      </c>
      <c r="C220" t="s">
        <v>41</v>
      </c>
      <c r="D220" t="s">
        <v>68</v>
      </c>
      <c r="E220">
        <v>65.099999999999994</v>
      </c>
      <c r="F220" t="s">
        <v>22</v>
      </c>
    </row>
    <row r="221" spans="1:6" x14ac:dyDescent="0.2">
      <c r="A221" t="s">
        <v>4</v>
      </c>
      <c r="B221" t="s">
        <v>15</v>
      </c>
      <c r="C221" t="s">
        <v>42</v>
      </c>
      <c r="D221" t="s">
        <v>68</v>
      </c>
      <c r="E221">
        <v>64.400000000000006</v>
      </c>
      <c r="F221" t="s">
        <v>22</v>
      </c>
    </row>
    <row r="222" spans="1:6" x14ac:dyDescent="0.2">
      <c r="A222" t="s">
        <v>4</v>
      </c>
      <c r="B222" t="s">
        <v>15</v>
      </c>
      <c r="C222" t="s">
        <v>39</v>
      </c>
      <c r="D222" t="s">
        <v>68</v>
      </c>
      <c r="E222">
        <v>84.3</v>
      </c>
      <c r="F222" t="s">
        <v>22</v>
      </c>
    </row>
    <row r="223" spans="1:6" x14ac:dyDescent="0.2">
      <c r="A223" t="s">
        <v>4</v>
      </c>
      <c r="B223" t="s">
        <v>15</v>
      </c>
      <c r="C223" t="s">
        <v>43</v>
      </c>
      <c r="D223" t="s">
        <v>68</v>
      </c>
      <c r="E223">
        <v>67.599999999999994</v>
      </c>
      <c r="F223" t="s">
        <v>26</v>
      </c>
    </row>
    <row r="224" spans="1:6" x14ac:dyDescent="0.2">
      <c r="A224" t="s">
        <v>4</v>
      </c>
      <c r="B224" t="s">
        <v>15</v>
      </c>
      <c r="C224" t="s">
        <v>44</v>
      </c>
      <c r="D224" t="s">
        <v>68</v>
      </c>
      <c r="E224">
        <v>70.599999999999994</v>
      </c>
      <c r="F224" t="s">
        <v>29</v>
      </c>
    </row>
    <row r="225" spans="1:6" x14ac:dyDescent="0.2">
      <c r="A225" t="s">
        <v>4</v>
      </c>
      <c r="B225" t="s">
        <v>15</v>
      </c>
      <c r="C225" t="s">
        <v>45</v>
      </c>
      <c r="D225" t="s">
        <v>68</v>
      </c>
      <c r="E225">
        <v>78.400000000000006</v>
      </c>
      <c r="F225" t="s">
        <v>29</v>
      </c>
    </row>
    <row r="226" spans="1:6" x14ac:dyDescent="0.2">
      <c r="A226" t="s">
        <v>4</v>
      </c>
      <c r="B226" t="s">
        <v>15</v>
      </c>
      <c r="C226" t="s">
        <v>46</v>
      </c>
      <c r="D226" t="s">
        <v>68</v>
      </c>
      <c r="E226">
        <v>53.4</v>
      </c>
      <c r="F226" t="s">
        <v>29</v>
      </c>
    </row>
    <row r="227" spans="1:6" x14ac:dyDescent="0.2">
      <c r="A227" t="s">
        <v>4</v>
      </c>
      <c r="B227" t="s">
        <v>15</v>
      </c>
      <c r="C227" t="s">
        <v>47</v>
      </c>
      <c r="D227" t="s">
        <v>68</v>
      </c>
      <c r="E227">
        <v>70.2</v>
      </c>
      <c r="F227" t="s">
        <v>32</v>
      </c>
    </row>
    <row r="228" spans="1:6" x14ac:dyDescent="0.2">
      <c r="A228" t="s">
        <v>4</v>
      </c>
      <c r="B228" t="s">
        <v>15</v>
      </c>
      <c r="C228" t="s">
        <v>48</v>
      </c>
      <c r="D228" t="s">
        <v>68</v>
      </c>
      <c r="E228">
        <v>62.1</v>
      </c>
      <c r="F228" t="s">
        <v>35</v>
      </c>
    </row>
    <row r="229" spans="1:6" x14ac:dyDescent="0.2">
      <c r="A229" t="s">
        <v>4</v>
      </c>
      <c r="B229" t="s">
        <v>15</v>
      </c>
      <c r="C229" t="s">
        <v>49</v>
      </c>
      <c r="D229" t="s">
        <v>68</v>
      </c>
      <c r="E229">
        <v>77.599999999999994</v>
      </c>
      <c r="F229" t="s">
        <v>35</v>
      </c>
    </row>
    <row r="230" spans="1:6" x14ac:dyDescent="0.2">
      <c r="A230" t="s">
        <v>4</v>
      </c>
      <c r="B230" t="s">
        <v>15</v>
      </c>
      <c r="C230" t="s">
        <v>38</v>
      </c>
      <c r="D230" t="s">
        <v>69</v>
      </c>
      <c r="E230">
        <v>68.5</v>
      </c>
      <c r="F230" t="s">
        <v>18</v>
      </c>
    </row>
    <row r="231" spans="1:6" x14ac:dyDescent="0.2">
      <c r="A231" t="s">
        <v>4</v>
      </c>
      <c r="B231" t="s">
        <v>15</v>
      </c>
      <c r="C231" t="s">
        <v>40</v>
      </c>
      <c r="D231" t="s">
        <v>69</v>
      </c>
      <c r="E231">
        <v>73.900000000000006</v>
      </c>
      <c r="F231" t="s">
        <v>18</v>
      </c>
    </row>
    <row r="232" spans="1:6" x14ac:dyDescent="0.2">
      <c r="A232" t="s">
        <v>4</v>
      </c>
      <c r="B232" t="s">
        <v>15</v>
      </c>
      <c r="C232" t="s">
        <v>41</v>
      </c>
      <c r="D232" t="s">
        <v>69</v>
      </c>
      <c r="E232">
        <v>63.6</v>
      </c>
      <c r="F232" t="s">
        <v>22</v>
      </c>
    </row>
    <row r="233" spans="1:6" x14ac:dyDescent="0.2">
      <c r="A233" t="s">
        <v>4</v>
      </c>
      <c r="B233" t="s">
        <v>15</v>
      </c>
      <c r="C233" t="s">
        <v>42</v>
      </c>
      <c r="D233" t="s">
        <v>69</v>
      </c>
      <c r="E233">
        <v>61.6</v>
      </c>
      <c r="F233" t="s">
        <v>22</v>
      </c>
    </row>
    <row r="234" spans="1:6" x14ac:dyDescent="0.2">
      <c r="A234" t="s">
        <v>4</v>
      </c>
      <c r="B234" t="s">
        <v>15</v>
      </c>
      <c r="C234" t="s">
        <v>39</v>
      </c>
      <c r="D234" t="s">
        <v>69</v>
      </c>
      <c r="E234">
        <v>75.7</v>
      </c>
      <c r="F234" t="s">
        <v>22</v>
      </c>
    </row>
    <row r="235" spans="1:6" x14ac:dyDescent="0.2">
      <c r="A235" t="s">
        <v>4</v>
      </c>
      <c r="B235" t="s">
        <v>15</v>
      </c>
      <c r="C235" t="s">
        <v>43</v>
      </c>
      <c r="D235" t="s">
        <v>69</v>
      </c>
      <c r="E235">
        <v>70.2</v>
      </c>
      <c r="F235" t="s">
        <v>26</v>
      </c>
    </row>
    <row r="236" spans="1:6" x14ac:dyDescent="0.2">
      <c r="A236" t="s">
        <v>4</v>
      </c>
      <c r="B236" t="s">
        <v>15</v>
      </c>
      <c r="C236" t="s">
        <v>44</v>
      </c>
      <c r="D236" t="s">
        <v>69</v>
      </c>
      <c r="E236">
        <v>62.9</v>
      </c>
      <c r="F236" t="s">
        <v>29</v>
      </c>
    </row>
    <row r="237" spans="1:6" x14ac:dyDescent="0.2">
      <c r="A237" t="s">
        <v>4</v>
      </c>
      <c r="B237" t="s">
        <v>15</v>
      </c>
      <c r="C237" t="s">
        <v>45</v>
      </c>
      <c r="D237" t="s">
        <v>69</v>
      </c>
      <c r="E237">
        <v>62.1</v>
      </c>
      <c r="F237" t="s">
        <v>29</v>
      </c>
    </row>
    <row r="238" spans="1:6" x14ac:dyDescent="0.2">
      <c r="A238" t="s">
        <v>4</v>
      </c>
      <c r="B238" t="s">
        <v>15</v>
      </c>
      <c r="C238" t="s">
        <v>46</v>
      </c>
      <c r="D238" t="s">
        <v>69</v>
      </c>
      <c r="E238">
        <v>74.3</v>
      </c>
      <c r="F238" t="s">
        <v>29</v>
      </c>
    </row>
    <row r="239" spans="1:6" x14ac:dyDescent="0.2">
      <c r="A239" t="s">
        <v>4</v>
      </c>
      <c r="B239" t="s">
        <v>15</v>
      </c>
      <c r="C239" t="s">
        <v>47</v>
      </c>
      <c r="D239" t="s">
        <v>69</v>
      </c>
      <c r="E239">
        <v>61.4</v>
      </c>
      <c r="F239" t="s">
        <v>32</v>
      </c>
    </row>
    <row r="240" spans="1:6" x14ac:dyDescent="0.2">
      <c r="A240" t="s">
        <v>4</v>
      </c>
      <c r="B240" t="s">
        <v>15</v>
      </c>
      <c r="C240" t="s">
        <v>48</v>
      </c>
      <c r="D240" t="s">
        <v>69</v>
      </c>
      <c r="E240">
        <v>64.8</v>
      </c>
      <c r="F240" t="s">
        <v>35</v>
      </c>
    </row>
    <row r="241" spans="1:6" x14ac:dyDescent="0.2">
      <c r="A241" t="s">
        <v>4</v>
      </c>
      <c r="B241" t="s">
        <v>15</v>
      </c>
      <c r="C241" t="s">
        <v>49</v>
      </c>
      <c r="D241" t="s">
        <v>69</v>
      </c>
      <c r="E241">
        <v>70.599999999999994</v>
      </c>
      <c r="F241" t="s">
        <v>35</v>
      </c>
    </row>
    <row r="242" spans="1:6" x14ac:dyDescent="0.2">
      <c r="A242" t="s">
        <v>4</v>
      </c>
      <c r="B242" t="s">
        <v>15</v>
      </c>
      <c r="C242" t="s">
        <v>38</v>
      </c>
      <c r="D242" t="s">
        <v>70</v>
      </c>
      <c r="E242">
        <v>74.2</v>
      </c>
      <c r="F242" t="s">
        <v>18</v>
      </c>
    </row>
    <row r="243" spans="1:6" x14ac:dyDescent="0.2">
      <c r="A243" t="s">
        <v>4</v>
      </c>
      <c r="B243" t="s">
        <v>15</v>
      </c>
      <c r="C243" t="s">
        <v>40</v>
      </c>
      <c r="D243" t="s">
        <v>70</v>
      </c>
      <c r="E243">
        <v>63.3</v>
      </c>
      <c r="F243" t="s">
        <v>18</v>
      </c>
    </row>
    <row r="244" spans="1:6" x14ac:dyDescent="0.2">
      <c r="A244" t="s">
        <v>4</v>
      </c>
      <c r="B244" t="s">
        <v>15</v>
      </c>
      <c r="C244" t="s">
        <v>41</v>
      </c>
      <c r="D244" t="s">
        <v>70</v>
      </c>
      <c r="E244">
        <v>72.5</v>
      </c>
      <c r="F244" t="s">
        <v>22</v>
      </c>
    </row>
    <row r="245" spans="1:6" x14ac:dyDescent="0.2">
      <c r="A245" t="s">
        <v>4</v>
      </c>
      <c r="B245" t="s">
        <v>15</v>
      </c>
      <c r="C245" t="s">
        <v>42</v>
      </c>
      <c r="D245" t="s">
        <v>70</v>
      </c>
      <c r="E245">
        <v>80.400000000000006</v>
      </c>
      <c r="F245" t="s">
        <v>22</v>
      </c>
    </row>
    <row r="246" spans="1:6" x14ac:dyDescent="0.2">
      <c r="A246" t="s">
        <v>4</v>
      </c>
      <c r="B246" t="s">
        <v>15</v>
      </c>
      <c r="C246" t="s">
        <v>39</v>
      </c>
      <c r="D246" t="s">
        <v>70</v>
      </c>
      <c r="E246">
        <v>66.7</v>
      </c>
      <c r="F246" t="s">
        <v>22</v>
      </c>
    </row>
    <row r="247" spans="1:6" x14ac:dyDescent="0.2">
      <c r="A247" t="s">
        <v>4</v>
      </c>
      <c r="B247" t="s">
        <v>15</v>
      </c>
      <c r="C247" t="s">
        <v>43</v>
      </c>
      <c r="D247" t="s">
        <v>70</v>
      </c>
      <c r="E247">
        <v>71.3</v>
      </c>
      <c r="F247" t="s">
        <v>26</v>
      </c>
    </row>
    <row r="248" spans="1:6" x14ac:dyDescent="0.2">
      <c r="A248" t="s">
        <v>4</v>
      </c>
      <c r="B248" t="s">
        <v>15</v>
      </c>
      <c r="C248" t="s">
        <v>44</v>
      </c>
      <c r="D248" t="s">
        <v>70</v>
      </c>
      <c r="E248">
        <v>63</v>
      </c>
      <c r="F248" t="s">
        <v>29</v>
      </c>
    </row>
    <row r="249" spans="1:6" x14ac:dyDescent="0.2">
      <c r="A249" t="s">
        <v>4</v>
      </c>
      <c r="B249" t="s">
        <v>15</v>
      </c>
      <c r="C249" t="s">
        <v>45</v>
      </c>
      <c r="D249" t="s">
        <v>70</v>
      </c>
      <c r="E249">
        <v>69.3</v>
      </c>
      <c r="F249" t="s">
        <v>29</v>
      </c>
    </row>
    <row r="250" spans="1:6" x14ac:dyDescent="0.2">
      <c r="A250" t="s">
        <v>4</v>
      </c>
      <c r="B250" t="s">
        <v>15</v>
      </c>
      <c r="C250" t="s">
        <v>46</v>
      </c>
      <c r="D250" t="s">
        <v>70</v>
      </c>
      <c r="E250">
        <v>68.8</v>
      </c>
      <c r="F250" t="s">
        <v>29</v>
      </c>
    </row>
    <row r="251" spans="1:6" x14ac:dyDescent="0.2">
      <c r="A251" t="s">
        <v>4</v>
      </c>
      <c r="B251" t="s">
        <v>15</v>
      </c>
      <c r="C251" t="s">
        <v>47</v>
      </c>
      <c r="D251" t="s">
        <v>70</v>
      </c>
      <c r="E251">
        <v>62.8</v>
      </c>
      <c r="F251" t="s">
        <v>32</v>
      </c>
    </row>
    <row r="252" spans="1:6" x14ac:dyDescent="0.2">
      <c r="A252" t="s">
        <v>4</v>
      </c>
      <c r="B252" t="s">
        <v>15</v>
      </c>
      <c r="C252" t="s">
        <v>48</v>
      </c>
      <c r="D252" t="s">
        <v>70</v>
      </c>
      <c r="E252">
        <v>56.5</v>
      </c>
      <c r="F252" t="s">
        <v>35</v>
      </c>
    </row>
    <row r="253" spans="1:6" x14ac:dyDescent="0.2">
      <c r="A253" t="s">
        <v>4</v>
      </c>
      <c r="B253" t="s">
        <v>15</v>
      </c>
      <c r="C253" t="s">
        <v>49</v>
      </c>
      <c r="D253" t="s">
        <v>70</v>
      </c>
      <c r="E253">
        <v>74.599999999999994</v>
      </c>
      <c r="F253" t="s">
        <v>35</v>
      </c>
    </row>
    <row r="254" spans="1:6" x14ac:dyDescent="0.2">
      <c r="A254" t="s">
        <v>0</v>
      </c>
      <c r="B254" t="s">
        <v>15</v>
      </c>
      <c r="C254" t="s">
        <v>38</v>
      </c>
      <c r="D254" t="s">
        <v>64</v>
      </c>
      <c r="E254">
        <v>74.599999999999994</v>
      </c>
      <c r="F254" t="s">
        <v>18</v>
      </c>
    </row>
    <row r="255" spans="1:6" x14ac:dyDescent="0.2">
      <c r="A255" t="s">
        <v>0</v>
      </c>
      <c r="B255" t="s">
        <v>15</v>
      </c>
      <c r="C255" t="s">
        <v>40</v>
      </c>
      <c r="D255" t="s">
        <v>64</v>
      </c>
      <c r="E255">
        <v>67.8</v>
      </c>
      <c r="F255" t="s">
        <v>18</v>
      </c>
    </row>
    <row r="256" spans="1:6" x14ac:dyDescent="0.2">
      <c r="A256" t="s">
        <v>0</v>
      </c>
      <c r="B256" t="s">
        <v>15</v>
      </c>
      <c r="C256" t="s">
        <v>41</v>
      </c>
      <c r="D256" t="s">
        <v>64</v>
      </c>
      <c r="E256">
        <v>90</v>
      </c>
      <c r="F256" t="s">
        <v>22</v>
      </c>
    </row>
    <row r="257" spans="1:6" x14ac:dyDescent="0.2">
      <c r="A257" t="s">
        <v>0</v>
      </c>
      <c r="B257" t="s">
        <v>15</v>
      </c>
      <c r="C257" t="s">
        <v>42</v>
      </c>
      <c r="D257" t="s">
        <v>64</v>
      </c>
      <c r="E257">
        <v>89.9</v>
      </c>
      <c r="F257" t="s">
        <v>22</v>
      </c>
    </row>
    <row r="258" spans="1:6" x14ac:dyDescent="0.2">
      <c r="A258" t="s">
        <v>0</v>
      </c>
      <c r="B258" t="s">
        <v>15</v>
      </c>
      <c r="C258" t="s">
        <v>39</v>
      </c>
      <c r="D258" t="s">
        <v>64</v>
      </c>
      <c r="E258">
        <v>71.7</v>
      </c>
      <c r="F258" t="s">
        <v>22</v>
      </c>
    </row>
    <row r="259" spans="1:6" x14ac:dyDescent="0.2">
      <c r="A259" t="s">
        <v>0</v>
      </c>
      <c r="B259" t="s">
        <v>15</v>
      </c>
      <c r="C259" t="s">
        <v>43</v>
      </c>
      <c r="D259" t="s">
        <v>64</v>
      </c>
      <c r="E259">
        <v>65.8</v>
      </c>
      <c r="F259" t="s">
        <v>26</v>
      </c>
    </row>
    <row r="260" spans="1:6" x14ac:dyDescent="0.2">
      <c r="A260" t="s">
        <v>0</v>
      </c>
      <c r="B260" t="s">
        <v>15</v>
      </c>
      <c r="C260" t="s">
        <v>44</v>
      </c>
      <c r="D260" t="s">
        <v>64</v>
      </c>
      <c r="E260">
        <v>71.599999999999994</v>
      </c>
      <c r="F260" t="s">
        <v>29</v>
      </c>
    </row>
    <row r="261" spans="1:6" x14ac:dyDescent="0.2">
      <c r="A261" t="s">
        <v>0</v>
      </c>
      <c r="B261" t="s">
        <v>15</v>
      </c>
      <c r="C261" t="s">
        <v>45</v>
      </c>
      <c r="D261" t="s">
        <v>64</v>
      </c>
      <c r="E261">
        <v>91.3</v>
      </c>
      <c r="F261" t="s">
        <v>29</v>
      </c>
    </row>
    <row r="262" spans="1:6" x14ac:dyDescent="0.2">
      <c r="A262" t="s">
        <v>0</v>
      </c>
      <c r="B262" t="s">
        <v>15</v>
      </c>
      <c r="C262" t="s">
        <v>46</v>
      </c>
      <c r="D262" t="s">
        <v>64</v>
      </c>
      <c r="E262">
        <v>82</v>
      </c>
      <c r="F262" t="s">
        <v>29</v>
      </c>
    </row>
    <row r="263" spans="1:6" x14ac:dyDescent="0.2">
      <c r="A263" t="s">
        <v>0</v>
      </c>
      <c r="B263" t="s">
        <v>15</v>
      </c>
      <c r="C263" t="s">
        <v>47</v>
      </c>
      <c r="D263" t="s">
        <v>64</v>
      </c>
      <c r="E263">
        <v>85.9</v>
      </c>
      <c r="F263" t="s">
        <v>32</v>
      </c>
    </row>
    <row r="264" spans="1:6" x14ac:dyDescent="0.2">
      <c r="A264" t="s">
        <v>0</v>
      </c>
      <c r="B264" t="s">
        <v>15</v>
      </c>
      <c r="C264" t="s">
        <v>48</v>
      </c>
      <c r="D264" t="s">
        <v>64</v>
      </c>
      <c r="E264">
        <v>66.099999999999994</v>
      </c>
      <c r="F264" t="s">
        <v>35</v>
      </c>
    </row>
    <row r="265" spans="1:6" x14ac:dyDescent="0.2">
      <c r="A265" t="s">
        <v>0</v>
      </c>
      <c r="B265" t="s">
        <v>15</v>
      </c>
      <c r="C265" t="s">
        <v>49</v>
      </c>
      <c r="D265" t="s">
        <v>64</v>
      </c>
      <c r="E265">
        <v>64.7</v>
      </c>
      <c r="F265" t="s">
        <v>35</v>
      </c>
    </row>
    <row r="266" spans="1:6" x14ac:dyDescent="0.2">
      <c r="A266" t="s">
        <v>0</v>
      </c>
      <c r="B266" t="s">
        <v>15</v>
      </c>
      <c r="C266" t="s">
        <v>38</v>
      </c>
      <c r="D266" t="s">
        <v>65</v>
      </c>
      <c r="E266">
        <v>91.3</v>
      </c>
      <c r="F266" t="s">
        <v>18</v>
      </c>
    </row>
    <row r="267" spans="1:6" x14ac:dyDescent="0.2">
      <c r="A267" t="s">
        <v>0</v>
      </c>
      <c r="B267" t="s">
        <v>15</v>
      </c>
      <c r="C267" t="s">
        <v>40</v>
      </c>
      <c r="D267" t="s">
        <v>65</v>
      </c>
      <c r="E267">
        <v>74.7</v>
      </c>
      <c r="F267" t="s">
        <v>18</v>
      </c>
    </row>
    <row r="268" spans="1:6" x14ac:dyDescent="0.2">
      <c r="A268" t="s">
        <v>0</v>
      </c>
      <c r="B268" t="s">
        <v>15</v>
      </c>
      <c r="C268" t="s">
        <v>41</v>
      </c>
      <c r="D268" t="s">
        <v>65</v>
      </c>
      <c r="E268">
        <v>82.2</v>
      </c>
      <c r="F268" t="s">
        <v>22</v>
      </c>
    </row>
    <row r="269" spans="1:6" x14ac:dyDescent="0.2">
      <c r="A269" t="s">
        <v>0</v>
      </c>
      <c r="B269" t="s">
        <v>15</v>
      </c>
      <c r="C269" t="s">
        <v>42</v>
      </c>
      <c r="D269" t="s">
        <v>65</v>
      </c>
      <c r="E269">
        <v>89.7</v>
      </c>
      <c r="F269" t="s">
        <v>22</v>
      </c>
    </row>
    <row r="270" spans="1:6" x14ac:dyDescent="0.2">
      <c r="A270" t="s">
        <v>0</v>
      </c>
      <c r="B270" t="s">
        <v>15</v>
      </c>
      <c r="C270" t="s">
        <v>39</v>
      </c>
      <c r="D270" t="s">
        <v>65</v>
      </c>
      <c r="E270">
        <v>85</v>
      </c>
      <c r="F270" t="s">
        <v>22</v>
      </c>
    </row>
    <row r="271" spans="1:6" x14ac:dyDescent="0.2">
      <c r="A271" t="s">
        <v>0</v>
      </c>
      <c r="B271" t="s">
        <v>15</v>
      </c>
      <c r="C271" t="s">
        <v>43</v>
      </c>
      <c r="D271" t="s">
        <v>65</v>
      </c>
      <c r="E271">
        <v>60.2</v>
      </c>
      <c r="F271" t="s">
        <v>26</v>
      </c>
    </row>
    <row r="272" spans="1:6" x14ac:dyDescent="0.2">
      <c r="A272" t="s">
        <v>0</v>
      </c>
      <c r="B272" t="s">
        <v>15</v>
      </c>
      <c r="C272" t="s">
        <v>44</v>
      </c>
      <c r="D272" t="s">
        <v>65</v>
      </c>
      <c r="E272">
        <v>85.4</v>
      </c>
      <c r="F272" t="s">
        <v>29</v>
      </c>
    </row>
    <row r="273" spans="1:6" x14ac:dyDescent="0.2">
      <c r="A273" t="s">
        <v>0</v>
      </c>
      <c r="B273" t="s">
        <v>15</v>
      </c>
      <c r="C273" t="s">
        <v>45</v>
      </c>
      <c r="D273" t="s">
        <v>65</v>
      </c>
      <c r="E273">
        <v>74.8</v>
      </c>
      <c r="F273" t="s">
        <v>29</v>
      </c>
    </row>
    <row r="274" spans="1:6" x14ac:dyDescent="0.2">
      <c r="A274" t="s">
        <v>0</v>
      </c>
      <c r="B274" t="s">
        <v>15</v>
      </c>
      <c r="C274" t="s">
        <v>46</v>
      </c>
      <c r="D274" t="s">
        <v>65</v>
      </c>
      <c r="E274">
        <v>76.599999999999994</v>
      </c>
      <c r="F274" t="s">
        <v>29</v>
      </c>
    </row>
    <row r="275" spans="1:6" x14ac:dyDescent="0.2">
      <c r="A275" t="s">
        <v>0</v>
      </c>
      <c r="B275" t="s">
        <v>15</v>
      </c>
      <c r="C275" t="s">
        <v>47</v>
      </c>
      <c r="D275" t="s">
        <v>65</v>
      </c>
      <c r="E275">
        <v>87.4</v>
      </c>
      <c r="F275" t="s">
        <v>32</v>
      </c>
    </row>
    <row r="276" spans="1:6" x14ac:dyDescent="0.2">
      <c r="A276" t="s">
        <v>0</v>
      </c>
      <c r="B276" t="s">
        <v>15</v>
      </c>
      <c r="C276" t="s">
        <v>48</v>
      </c>
      <c r="D276" t="s">
        <v>65</v>
      </c>
      <c r="E276">
        <v>59</v>
      </c>
      <c r="F276" t="s">
        <v>35</v>
      </c>
    </row>
    <row r="277" spans="1:6" x14ac:dyDescent="0.2">
      <c r="A277" t="s">
        <v>0</v>
      </c>
      <c r="B277" t="s">
        <v>15</v>
      </c>
      <c r="C277" t="s">
        <v>49</v>
      </c>
      <c r="D277" t="s">
        <v>65</v>
      </c>
      <c r="E277">
        <v>63.5</v>
      </c>
      <c r="F277" t="s">
        <v>35</v>
      </c>
    </row>
    <row r="278" spans="1:6" x14ac:dyDescent="0.2">
      <c r="A278" t="s">
        <v>0</v>
      </c>
      <c r="B278" t="s">
        <v>15</v>
      </c>
      <c r="C278" t="s">
        <v>38</v>
      </c>
      <c r="D278" t="s">
        <v>66</v>
      </c>
      <c r="E278">
        <v>75.400000000000006</v>
      </c>
      <c r="F278" t="s">
        <v>18</v>
      </c>
    </row>
    <row r="279" spans="1:6" x14ac:dyDescent="0.2">
      <c r="A279" t="s">
        <v>0</v>
      </c>
      <c r="B279" t="s">
        <v>15</v>
      </c>
      <c r="C279" t="s">
        <v>40</v>
      </c>
      <c r="D279" t="s">
        <v>66</v>
      </c>
      <c r="E279">
        <v>70.5</v>
      </c>
      <c r="F279" t="s">
        <v>18</v>
      </c>
    </row>
    <row r="280" spans="1:6" x14ac:dyDescent="0.2">
      <c r="A280" t="s">
        <v>0</v>
      </c>
      <c r="B280" t="s">
        <v>15</v>
      </c>
      <c r="C280" t="s">
        <v>41</v>
      </c>
      <c r="D280" t="s">
        <v>66</v>
      </c>
      <c r="E280">
        <v>75.400000000000006</v>
      </c>
      <c r="F280" t="s">
        <v>22</v>
      </c>
    </row>
    <row r="281" spans="1:6" x14ac:dyDescent="0.2">
      <c r="A281" t="s">
        <v>0</v>
      </c>
      <c r="B281" t="s">
        <v>15</v>
      </c>
      <c r="C281" t="s">
        <v>42</v>
      </c>
      <c r="D281" t="s">
        <v>66</v>
      </c>
      <c r="E281">
        <v>80.099999999999994</v>
      </c>
      <c r="F281" t="s">
        <v>22</v>
      </c>
    </row>
    <row r="282" spans="1:6" x14ac:dyDescent="0.2">
      <c r="A282" t="s">
        <v>0</v>
      </c>
      <c r="B282" t="s">
        <v>15</v>
      </c>
      <c r="C282" t="s">
        <v>39</v>
      </c>
      <c r="D282" t="s">
        <v>66</v>
      </c>
      <c r="E282">
        <v>86.5</v>
      </c>
      <c r="F282" t="s">
        <v>22</v>
      </c>
    </row>
    <row r="283" spans="1:6" x14ac:dyDescent="0.2">
      <c r="A283" t="s">
        <v>0</v>
      </c>
      <c r="B283" t="s">
        <v>15</v>
      </c>
      <c r="C283" t="s">
        <v>43</v>
      </c>
      <c r="D283" t="s">
        <v>66</v>
      </c>
      <c r="E283">
        <v>65.5</v>
      </c>
      <c r="F283" t="s">
        <v>26</v>
      </c>
    </row>
    <row r="284" spans="1:6" x14ac:dyDescent="0.2">
      <c r="A284" t="s">
        <v>0</v>
      </c>
      <c r="B284" t="s">
        <v>15</v>
      </c>
      <c r="C284" t="s">
        <v>44</v>
      </c>
      <c r="D284" t="s">
        <v>66</v>
      </c>
      <c r="E284">
        <v>80.900000000000006</v>
      </c>
      <c r="F284" t="s">
        <v>29</v>
      </c>
    </row>
    <row r="285" spans="1:6" x14ac:dyDescent="0.2">
      <c r="A285" t="s">
        <v>0</v>
      </c>
      <c r="B285" t="s">
        <v>15</v>
      </c>
      <c r="C285" t="s">
        <v>45</v>
      </c>
      <c r="D285" t="s">
        <v>66</v>
      </c>
      <c r="E285">
        <v>73.900000000000006</v>
      </c>
      <c r="F285" t="s">
        <v>29</v>
      </c>
    </row>
    <row r="286" spans="1:6" x14ac:dyDescent="0.2">
      <c r="A286" t="s">
        <v>0</v>
      </c>
      <c r="B286" t="s">
        <v>15</v>
      </c>
      <c r="C286" t="s">
        <v>46</v>
      </c>
      <c r="D286" t="s">
        <v>66</v>
      </c>
      <c r="E286">
        <v>72.2</v>
      </c>
      <c r="F286" t="s">
        <v>29</v>
      </c>
    </row>
    <row r="287" spans="1:6" x14ac:dyDescent="0.2">
      <c r="A287" t="s">
        <v>0</v>
      </c>
      <c r="B287" t="s">
        <v>15</v>
      </c>
      <c r="C287" t="s">
        <v>47</v>
      </c>
      <c r="D287" t="s">
        <v>66</v>
      </c>
      <c r="E287">
        <v>86.5</v>
      </c>
      <c r="F287" t="s">
        <v>32</v>
      </c>
    </row>
    <row r="288" spans="1:6" x14ac:dyDescent="0.2">
      <c r="A288" t="s">
        <v>0</v>
      </c>
      <c r="B288" t="s">
        <v>15</v>
      </c>
      <c r="C288" t="s">
        <v>48</v>
      </c>
      <c r="D288" t="s">
        <v>66</v>
      </c>
      <c r="E288">
        <v>80.400000000000006</v>
      </c>
      <c r="F288" t="s">
        <v>35</v>
      </c>
    </row>
    <row r="289" spans="1:6" x14ac:dyDescent="0.2">
      <c r="A289" t="s">
        <v>0</v>
      </c>
      <c r="B289" t="s">
        <v>15</v>
      </c>
      <c r="C289" t="s">
        <v>49</v>
      </c>
      <c r="D289" t="s">
        <v>66</v>
      </c>
      <c r="E289">
        <v>62.8</v>
      </c>
      <c r="F289" t="s">
        <v>35</v>
      </c>
    </row>
    <row r="290" spans="1:6" x14ac:dyDescent="0.2">
      <c r="A290" t="s">
        <v>0</v>
      </c>
      <c r="B290" t="s">
        <v>15</v>
      </c>
      <c r="C290" t="s">
        <v>38</v>
      </c>
      <c r="D290" t="s">
        <v>67</v>
      </c>
      <c r="E290">
        <v>82.3</v>
      </c>
      <c r="F290" t="s">
        <v>18</v>
      </c>
    </row>
    <row r="291" spans="1:6" x14ac:dyDescent="0.2">
      <c r="A291" t="s">
        <v>0</v>
      </c>
      <c r="B291" t="s">
        <v>15</v>
      </c>
      <c r="C291" t="s">
        <v>40</v>
      </c>
      <c r="D291" t="s">
        <v>67</v>
      </c>
      <c r="E291">
        <v>62.7</v>
      </c>
      <c r="F291" t="s">
        <v>18</v>
      </c>
    </row>
    <row r="292" spans="1:6" x14ac:dyDescent="0.2">
      <c r="A292" t="s">
        <v>0</v>
      </c>
      <c r="B292" t="s">
        <v>15</v>
      </c>
      <c r="C292" t="s">
        <v>41</v>
      </c>
      <c r="D292" t="s">
        <v>67</v>
      </c>
      <c r="E292">
        <v>70.099999999999994</v>
      </c>
      <c r="F292" t="s">
        <v>22</v>
      </c>
    </row>
    <row r="293" spans="1:6" x14ac:dyDescent="0.2">
      <c r="A293" t="s">
        <v>0</v>
      </c>
      <c r="B293" t="s">
        <v>15</v>
      </c>
      <c r="C293" t="s">
        <v>42</v>
      </c>
      <c r="D293" t="s">
        <v>67</v>
      </c>
      <c r="E293">
        <v>84.3</v>
      </c>
      <c r="F293" t="s">
        <v>22</v>
      </c>
    </row>
    <row r="294" spans="1:6" x14ac:dyDescent="0.2">
      <c r="A294" t="s">
        <v>0</v>
      </c>
      <c r="B294" t="s">
        <v>15</v>
      </c>
      <c r="C294" t="s">
        <v>39</v>
      </c>
      <c r="D294" t="s">
        <v>67</v>
      </c>
      <c r="E294">
        <v>84.7</v>
      </c>
      <c r="F294" t="s">
        <v>22</v>
      </c>
    </row>
    <row r="295" spans="1:6" x14ac:dyDescent="0.2">
      <c r="A295" t="s">
        <v>0</v>
      </c>
      <c r="B295" t="s">
        <v>15</v>
      </c>
      <c r="C295" t="s">
        <v>43</v>
      </c>
      <c r="D295" t="s">
        <v>67</v>
      </c>
      <c r="E295">
        <v>67.099999999999994</v>
      </c>
      <c r="F295" t="s">
        <v>26</v>
      </c>
    </row>
    <row r="296" spans="1:6" x14ac:dyDescent="0.2">
      <c r="A296" t="s">
        <v>0</v>
      </c>
      <c r="B296" t="s">
        <v>15</v>
      </c>
      <c r="C296" t="s">
        <v>44</v>
      </c>
      <c r="D296" t="s">
        <v>67</v>
      </c>
      <c r="E296">
        <v>83.5</v>
      </c>
      <c r="F296" t="s">
        <v>29</v>
      </c>
    </row>
    <row r="297" spans="1:6" x14ac:dyDescent="0.2">
      <c r="A297" t="s">
        <v>0</v>
      </c>
      <c r="B297" t="s">
        <v>15</v>
      </c>
      <c r="C297" t="s">
        <v>45</v>
      </c>
      <c r="D297" t="s">
        <v>67</v>
      </c>
      <c r="E297">
        <v>81.3</v>
      </c>
      <c r="F297" t="s">
        <v>29</v>
      </c>
    </row>
    <row r="298" spans="1:6" x14ac:dyDescent="0.2">
      <c r="A298" t="s">
        <v>0</v>
      </c>
      <c r="B298" t="s">
        <v>15</v>
      </c>
      <c r="C298" t="s">
        <v>46</v>
      </c>
      <c r="D298" t="s">
        <v>67</v>
      </c>
      <c r="E298">
        <v>70.7</v>
      </c>
      <c r="F298" t="s">
        <v>29</v>
      </c>
    </row>
    <row r="299" spans="1:6" x14ac:dyDescent="0.2">
      <c r="A299" t="s">
        <v>0</v>
      </c>
      <c r="B299" t="s">
        <v>15</v>
      </c>
      <c r="C299" t="s">
        <v>47</v>
      </c>
      <c r="D299" t="s">
        <v>67</v>
      </c>
      <c r="E299">
        <v>63.3</v>
      </c>
      <c r="F299" t="s">
        <v>32</v>
      </c>
    </row>
    <row r="300" spans="1:6" x14ac:dyDescent="0.2">
      <c r="A300" t="s">
        <v>0</v>
      </c>
      <c r="B300" t="s">
        <v>15</v>
      </c>
      <c r="C300" t="s">
        <v>48</v>
      </c>
      <c r="D300" t="s">
        <v>67</v>
      </c>
      <c r="E300">
        <v>57.3</v>
      </c>
      <c r="F300" t="s">
        <v>35</v>
      </c>
    </row>
    <row r="301" spans="1:6" x14ac:dyDescent="0.2">
      <c r="A301" t="s">
        <v>0</v>
      </c>
      <c r="B301" t="s">
        <v>15</v>
      </c>
      <c r="C301" t="s">
        <v>49</v>
      </c>
      <c r="D301" t="s">
        <v>67</v>
      </c>
      <c r="E301">
        <v>86.5</v>
      </c>
      <c r="F301" t="s">
        <v>35</v>
      </c>
    </row>
    <row r="302" spans="1:6" x14ac:dyDescent="0.2">
      <c r="A302" t="s">
        <v>0</v>
      </c>
      <c r="B302" t="s">
        <v>15</v>
      </c>
      <c r="C302" t="s">
        <v>38</v>
      </c>
      <c r="D302" t="s">
        <v>68</v>
      </c>
      <c r="E302">
        <v>92.9</v>
      </c>
      <c r="F302" t="s">
        <v>18</v>
      </c>
    </row>
    <row r="303" spans="1:6" x14ac:dyDescent="0.2">
      <c r="A303" t="s">
        <v>0</v>
      </c>
      <c r="B303" t="s">
        <v>15</v>
      </c>
      <c r="C303" t="s">
        <v>40</v>
      </c>
      <c r="D303" t="s">
        <v>68</v>
      </c>
      <c r="E303">
        <v>70.3</v>
      </c>
      <c r="F303" t="s">
        <v>18</v>
      </c>
    </row>
    <row r="304" spans="1:6" x14ac:dyDescent="0.2">
      <c r="A304" t="s">
        <v>0</v>
      </c>
      <c r="B304" t="s">
        <v>15</v>
      </c>
      <c r="C304" t="s">
        <v>41</v>
      </c>
      <c r="D304" t="s">
        <v>68</v>
      </c>
      <c r="E304">
        <v>86.7</v>
      </c>
      <c r="F304" t="s">
        <v>22</v>
      </c>
    </row>
    <row r="305" spans="1:6" x14ac:dyDescent="0.2">
      <c r="A305" t="s">
        <v>0</v>
      </c>
      <c r="B305" t="s">
        <v>15</v>
      </c>
      <c r="C305" t="s">
        <v>42</v>
      </c>
      <c r="D305" t="s">
        <v>68</v>
      </c>
      <c r="E305">
        <v>79.599999999999994</v>
      </c>
      <c r="F305" t="s">
        <v>22</v>
      </c>
    </row>
    <row r="306" spans="1:6" x14ac:dyDescent="0.2">
      <c r="A306" t="s">
        <v>0</v>
      </c>
      <c r="B306" t="s">
        <v>15</v>
      </c>
      <c r="C306" t="s">
        <v>39</v>
      </c>
      <c r="D306" t="s">
        <v>68</v>
      </c>
      <c r="E306">
        <v>73.400000000000006</v>
      </c>
      <c r="F306" t="s">
        <v>22</v>
      </c>
    </row>
    <row r="307" spans="1:6" x14ac:dyDescent="0.2">
      <c r="A307" t="s">
        <v>0</v>
      </c>
      <c r="B307" t="s">
        <v>15</v>
      </c>
      <c r="C307" t="s">
        <v>43</v>
      </c>
      <c r="D307" t="s">
        <v>68</v>
      </c>
      <c r="E307">
        <v>63.4</v>
      </c>
      <c r="F307" t="s">
        <v>26</v>
      </c>
    </row>
    <row r="308" spans="1:6" x14ac:dyDescent="0.2">
      <c r="A308" t="s">
        <v>0</v>
      </c>
      <c r="B308" t="s">
        <v>15</v>
      </c>
      <c r="C308" t="s">
        <v>44</v>
      </c>
      <c r="D308" t="s">
        <v>68</v>
      </c>
      <c r="E308">
        <v>72.7</v>
      </c>
      <c r="F308" t="s">
        <v>29</v>
      </c>
    </row>
    <row r="309" spans="1:6" x14ac:dyDescent="0.2">
      <c r="A309" t="s">
        <v>0</v>
      </c>
      <c r="B309" t="s">
        <v>15</v>
      </c>
      <c r="C309" t="s">
        <v>45</v>
      </c>
      <c r="D309" t="s">
        <v>68</v>
      </c>
      <c r="E309">
        <v>90.4</v>
      </c>
      <c r="F309" t="s">
        <v>29</v>
      </c>
    </row>
    <row r="310" spans="1:6" x14ac:dyDescent="0.2">
      <c r="A310" t="s">
        <v>0</v>
      </c>
      <c r="B310" t="s">
        <v>15</v>
      </c>
      <c r="C310" t="s">
        <v>46</v>
      </c>
      <c r="D310" t="s">
        <v>68</v>
      </c>
      <c r="E310">
        <v>79.900000000000006</v>
      </c>
      <c r="F310" t="s">
        <v>29</v>
      </c>
    </row>
    <row r="311" spans="1:6" x14ac:dyDescent="0.2">
      <c r="A311" t="s">
        <v>0</v>
      </c>
      <c r="B311" t="s">
        <v>15</v>
      </c>
      <c r="C311" t="s">
        <v>47</v>
      </c>
      <c r="D311" t="s">
        <v>68</v>
      </c>
      <c r="E311">
        <v>85.4</v>
      </c>
      <c r="F311" t="s">
        <v>32</v>
      </c>
    </row>
    <row r="312" spans="1:6" x14ac:dyDescent="0.2">
      <c r="A312" t="s">
        <v>0</v>
      </c>
      <c r="B312" t="s">
        <v>15</v>
      </c>
      <c r="C312" t="s">
        <v>48</v>
      </c>
      <c r="D312" t="s">
        <v>68</v>
      </c>
      <c r="E312">
        <v>82</v>
      </c>
      <c r="F312" t="s">
        <v>35</v>
      </c>
    </row>
    <row r="313" spans="1:6" x14ac:dyDescent="0.2">
      <c r="A313" t="s">
        <v>0</v>
      </c>
      <c r="B313" t="s">
        <v>15</v>
      </c>
      <c r="C313" t="s">
        <v>49</v>
      </c>
      <c r="D313" t="s">
        <v>68</v>
      </c>
      <c r="E313">
        <v>66.3</v>
      </c>
      <c r="F313" t="s">
        <v>35</v>
      </c>
    </row>
    <row r="314" spans="1:6" x14ac:dyDescent="0.2">
      <c r="A314" t="s">
        <v>0</v>
      </c>
      <c r="B314" t="s">
        <v>15</v>
      </c>
      <c r="C314" t="s">
        <v>38</v>
      </c>
      <c r="D314" t="s">
        <v>69</v>
      </c>
      <c r="E314">
        <v>78.5</v>
      </c>
      <c r="F314" t="s">
        <v>18</v>
      </c>
    </row>
    <row r="315" spans="1:6" x14ac:dyDescent="0.2">
      <c r="A315" t="s">
        <v>0</v>
      </c>
      <c r="B315" t="s">
        <v>15</v>
      </c>
      <c r="C315" t="s">
        <v>40</v>
      </c>
      <c r="D315" t="s">
        <v>69</v>
      </c>
      <c r="E315">
        <v>57.9</v>
      </c>
      <c r="F315" t="s">
        <v>18</v>
      </c>
    </row>
    <row r="316" spans="1:6" x14ac:dyDescent="0.2">
      <c r="A316" t="s">
        <v>0</v>
      </c>
      <c r="B316" t="s">
        <v>15</v>
      </c>
      <c r="C316" t="s">
        <v>41</v>
      </c>
      <c r="D316" t="s">
        <v>69</v>
      </c>
      <c r="E316">
        <v>85.6</v>
      </c>
      <c r="F316" t="s">
        <v>22</v>
      </c>
    </row>
    <row r="317" spans="1:6" x14ac:dyDescent="0.2">
      <c r="A317" t="s">
        <v>0</v>
      </c>
      <c r="B317" t="s">
        <v>15</v>
      </c>
      <c r="C317" t="s">
        <v>42</v>
      </c>
      <c r="D317" t="s">
        <v>69</v>
      </c>
      <c r="E317">
        <v>87.1</v>
      </c>
      <c r="F317" t="s">
        <v>22</v>
      </c>
    </row>
    <row r="318" spans="1:6" x14ac:dyDescent="0.2">
      <c r="A318" t="s">
        <v>0</v>
      </c>
      <c r="B318" t="s">
        <v>15</v>
      </c>
      <c r="C318" t="s">
        <v>39</v>
      </c>
      <c r="D318" t="s">
        <v>69</v>
      </c>
      <c r="E318">
        <v>79.3</v>
      </c>
      <c r="F318" t="s">
        <v>22</v>
      </c>
    </row>
    <row r="319" spans="1:6" x14ac:dyDescent="0.2">
      <c r="A319" t="s">
        <v>0</v>
      </c>
      <c r="B319" t="s">
        <v>15</v>
      </c>
      <c r="C319" t="s">
        <v>43</v>
      </c>
      <c r="D319" t="s">
        <v>69</v>
      </c>
      <c r="E319">
        <v>76.8</v>
      </c>
      <c r="F319" t="s">
        <v>26</v>
      </c>
    </row>
    <row r="320" spans="1:6" x14ac:dyDescent="0.2">
      <c r="A320" t="s">
        <v>0</v>
      </c>
      <c r="B320" t="s">
        <v>15</v>
      </c>
      <c r="C320" t="s">
        <v>44</v>
      </c>
      <c r="D320" t="s">
        <v>69</v>
      </c>
      <c r="E320">
        <v>68.900000000000006</v>
      </c>
      <c r="F320" t="s">
        <v>29</v>
      </c>
    </row>
    <row r="321" spans="1:6" x14ac:dyDescent="0.2">
      <c r="A321" t="s">
        <v>0</v>
      </c>
      <c r="B321" t="s">
        <v>15</v>
      </c>
      <c r="C321" t="s">
        <v>45</v>
      </c>
      <c r="D321" t="s">
        <v>69</v>
      </c>
      <c r="E321">
        <v>91.2</v>
      </c>
      <c r="F321" t="s">
        <v>29</v>
      </c>
    </row>
    <row r="322" spans="1:6" x14ac:dyDescent="0.2">
      <c r="A322" t="s">
        <v>0</v>
      </c>
      <c r="B322" t="s">
        <v>15</v>
      </c>
      <c r="C322" t="s">
        <v>46</v>
      </c>
      <c r="D322" t="s">
        <v>69</v>
      </c>
      <c r="E322">
        <v>81.599999999999994</v>
      </c>
      <c r="F322" t="s">
        <v>29</v>
      </c>
    </row>
    <row r="323" spans="1:6" x14ac:dyDescent="0.2">
      <c r="A323" t="s">
        <v>0</v>
      </c>
      <c r="B323" t="s">
        <v>15</v>
      </c>
      <c r="C323" t="s">
        <v>47</v>
      </c>
      <c r="D323" t="s">
        <v>69</v>
      </c>
      <c r="E323">
        <v>88.4</v>
      </c>
      <c r="F323" t="s">
        <v>32</v>
      </c>
    </row>
    <row r="324" spans="1:6" x14ac:dyDescent="0.2">
      <c r="A324" t="s">
        <v>0</v>
      </c>
      <c r="B324" t="s">
        <v>15</v>
      </c>
      <c r="C324" t="s">
        <v>48</v>
      </c>
      <c r="D324" t="s">
        <v>69</v>
      </c>
      <c r="E324">
        <v>79.3</v>
      </c>
      <c r="F324" t="s">
        <v>35</v>
      </c>
    </row>
    <row r="325" spans="1:6" x14ac:dyDescent="0.2">
      <c r="A325" t="s">
        <v>0</v>
      </c>
      <c r="B325" t="s">
        <v>15</v>
      </c>
      <c r="C325" t="s">
        <v>49</v>
      </c>
      <c r="D325" t="s">
        <v>69</v>
      </c>
      <c r="E325">
        <v>86.4</v>
      </c>
      <c r="F325" t="s">
        <v>35</v>
      </c>
    </row>
    <row r="326" spans="1:6" x14ac:dyDescent="0.2">
      <c r="A326" t="s">
        <v>0</v>
      </c>
      <c r="B326" t="s">
        <v>15</v>
      </c>
      <c r="C326" t="s">
        <v>38</v>
      </c>
      <c r="D326" t="s">
        <v>70</v>
      </c>
      <c r="E326">
        <v>73.5</v>
      </c>
      <c r="F326" t="s">
        <v>18</v>
      </c>
    </row>
    <row r="327" spans="1:6" x14ac:dyDescent="0.2">
      <c r="A327" t="s">
        <v>0</v>
      </c>
      <c r="B327" t="s">
        <v>15</v>
      </c>
      <c r="C327" t="s">
        <v>40</v>
      </c>
      <c r="D327" t="s">
        <v>70</v>
      </c>
      <c r="E327">
        <v>75.599999999999994</v>
      </c>
      <c r="F327" t="s">
        <v>18</v>
      </c>
    </row>
    <row r="328" spans="1:6" x14ac:dyDescent="0.2">
      <c r="A328" t="s">
        <v>0</v>
      </c>
      <c r="B328" t="s">
        <v>15</v>
      </c>
      <c r="C328" t="s">
        <v>41</v>
      </c>
      <c r="D328" t="s">
        <v>70</v>
      </c>
      <c r="E328">
        <v>76.599999999999994</v>
      </c>
      <c r="F328" t="s">
        <v>22</v>
      </c>
    </row>
    <row r="329" spans="1:6" x14ac:dyDescent="0.2">
      <c r="A329" t="s">
        <v>0</v>
      </c>
      <c r="B329" t="s">
        <v>15</v>
      </c>
      <c r="C329" t="s">
        <v>42</v>
      </c>
      <c r="D329" t="s">
        <v>70</v>
      </c>
      <c r="E329">
        <v>88.3</v>
      </c>
      <c r="F329" t="s">
        <v>22</v>
      </c>
    </row>
    <row r="330" spans="1:6" x14ac:dyDescent="0.2">
      <c r="A330" t="s">
        <v>0</v>
      </c>
      <c r="B330" t="s">
        <v>15</v>
      </c>
      <c r="C330" t="s">
        <v>39</v>
      </c>
      <c r="D330" t="s">
        <v>70</v>
      </c>
      <c r="E330">
        <v>88.5</v>
      </c>
      <c r="F330" t="s">
        <v>22</v>
      </c>
    </row>
    <row r="331" spans="1:6" x14ac:dyDescent="0.2">
      <c r="A331" t="s">
        <v>0</v>
      </c>
      <c r="B331" t="s">
        <v>15</v>
      </c>
      <c r="C331" t="s">
        <v>43</v>
      </c>
      <c r="D331" t="s">
        <v>70</v>
      </c>
      <c r="E331">
        <v>83.3</v>
      </c>
      <c r="F331" t="s">
        <v>26</v>
      </c>
    </row>
    <row r="332" spans="1:6" x14ac:dyDescent="0.2">
      <c r="A332" t="s">
        <v>0</v>
      </c>
      <c r="B332" t="s">
        <v>15</v>
      </c>
      <c r="C332" t="s">
        <v>44</v>
      </c>
      <c r="D332" t="s">
        <v>70</v>
      </c>
      <c r="E332">
        <v>85.3</v>
      </c>
      <c r="F332" t="s">
        <v>29</v>
      </c>
    </row>
    <row r="333" spans="1:6" x14ac:dyDescent="0.2">
      <c r="A333" t="s">
        <v>0</v>
      </c>
      <c r="B333" t="s">
        <v>15</v>
      </c>
      <c r="C333" t="s">
        <v>45</v>
      </c>
      <c r="D333" t="s">
        <v>70</v>
      </c>
      <c r="E333">
        <v>73.900000000000006</v>
      </c>
      <c r="F333" t="s">
        <v>29</v>
      </c>
    </row>
    <row r="334" spans="1:6" x14ac:dyDescent="0.2">
      <c r="A334" t="s">
        <v>0</v>
      </c>
      <c r="B334" t="s">
        <v>15</v>
      </c>
      <c r="C334" t="s">
        <v>46</v>
      </c>
      <c r="D334" t="s">
        <v>70</v>
      </c>
      <c r="E334">
        <v>79.7</v>
      </c>
      <c r="F334" t="s">
        <v>29</v>
      </c>
    </row>
    <row r="335" spans="1:6" x14ac:dyDescent="0.2">
      <c r="A335" t="s">
        <v>0</v>
      </c>
      <c r="B335" t="s">
        <v>15</v>
      </c>
      <c r="C335" t="s">
        <v>47</v>
      </c>
      <c r="D335" t="s">
        <v>70</v>
      </c>
      <c r="E335">
        <v>65.8</v>
      </c>
      <c r="F335" t="s">
        <v>32</v>
      </c>
    </row>
    <row r="336" spans="1:6" x14ac:dyDescent="0.2">
      <c r="A336" t="s">
        <v>0</v>
      </c>
      <c r="B336" t="s">
        <v>15</v>
      </c>
      <c r="C336" t="s">
        <v>48</v>
      </c>
      <c r="D336" t="s">
        <v>70</v>
      </c>
      <c r="E336">
        <v>81.2</v>
      </c>
      <c r="F336" t="s">
        <v>35</v>
      </c>
    </row>
    <row r="337" spans="1:6" x14ac:dyDescent="0.2">
      <c r="A337" t="s">
        <v>0</v>
      </c>
      <c r="B337" t="s">
        <v>15</v>
      </c>
      <c r="C337" t="s">
        <v>49</v>
      </c>
      <c r="D337" t="s">
        <v>70</v>
      </c>
      <c r="E337">
        <v>85.8</v>
      </c>
      <c r="F337" t="s">
        <v>35</v>
      </c>
    </row>
    <row r="338" spans="1:6" x14ac:dyDescent="0.2">
      <c r="A338" t="s">
        <v>1</v>
      </c>
      <c r="B338" t="s">
        <v>15</v>
      </c>
      <c r="C338" t="s">
        <v>38</v>
      </c>
      <c r="D338" t="s">
        <v>64</v>
      </c>
      <c r="E338">
        <v>71.900000000000006</v>
      </c>
      <c r="F338" t="s">
        <v>18</v>
      </c>
    </row>
    <row r="339" spans="1:6" x14ac:dyDescent="0.2">
      <c r="A339" t="s">
        <v>1</v>
      </c>
      <c r="B339" t="s">
        <v>15</v>
      </c>
      <c r="C339" t="s">
        <v>40</v>
      </c>
      <c r="D339" t="s">
        <v>64</v>
      </c>
      <c r="E339">
        <v>71.900000000000006</v>
      </c>
      <c r="F339" t="s">
        <v>18</v>
      </c>
    </row>
    <row r="340" spans="1:6" x14ac:dyDescent="0.2">
      <c r="A340" t="s">
        <v>1</v>
      </c>
      <c r="B340" t="s">
        <v>15</v>
      </c>
      <c r="C340" t="s">
        <v>41</v>
      </c>
      <c r="D340" t="s">
        <v>64</v>
      </c>
      <c r="E340">
        <v>73.2</v>
      </c>
      <c r="F340" t="s">
        <v>22</v>
      </c>
    </row>
    <row r="341" spans="1:6" x14ac:dyDescent="0.2">
      <c r="A341" t="s">
        <v>1</v>
      </c>
      <c r="B341" t="s">
        <v>15</v>
      </c>
      <c r="C341" t="s">
        <v>42</v>
      </c>
      <c r="D341" t="s">
        <v>64</v>
      </c>
      <c r="E341">
        <v>66.599999999999994</v>
      </c>
      <c r="F341" t="s">
        <v>22</v>
      </c>
    </row>
    <row r="342" spans="1:6" x14ac:dyDescent="0.2">
      <c r="A342" t="s">
        <v>1</v>
      </c>
      <c r="B342" t="s">
        <v>15</v>
      </c>
      <c r="C342" t="s">
        <v>39</v>
      </c>
      <c r="D342" t="s">
        <v>64</v>
      </c>
      <c r="E342">
        <v>82.3</v>
      </c>
      <c r="F342" t="s">
        <v>22</v>
      </c>
    </row>
    <row r="343" spans="1:6" x14ac:dyDescent="0.2">
      <c r="A343" t="s">
        <v>1</v>
      </c>
      <c r="B343" t="s">
        <v>15</v>
      </c>
      <c r="C343" t="s">
        <v>43</v>
      </c>
      <c r="D343" t="s">
        <v>64</v>
      </c>
      <c r="E343">
        <v>60.1</v>
      </c>
      <c r="F343" t="s">
        <v>26</v>
      </c>
    </row>
    <row r="344" spans="1:6" x14ac:dyDescent="0.2">
      <c r="A344" t="s">
        <v>1</v>
      </c>
      <c r="B344" t="s">
        <v>15</v>
      </c>
      <c r="C344" t="s">
        <v>44</v>
      </c>
      <c r="D344" t="s">
        <v>64</v>
      </c>
      <c r="E344">
        <v>59.6</v>
      </c>
      <c r="F344" t="s">
        <v>29</v>
      </c>
    </row>
    <row r="345" spans="1:6" x14ac:dyDescent="0.2">
      <c r="A345" t="s">
        <v>1</v>
      </c>
      <c r="B345" t="s">
        <v>15</v>
      </c>
      <c r="C345" t="s">
        <v>45</v>
      </c>
      <c r="D345" t="s">
        <v>64</v>
      </c>
      <c r="E345">
        <v>66</v>
      </c>
      <c r="F345" t="s">
        <v>29</v>
      </c>
    </row>
    <row r="346" spans="1:6" x14ac:dyDescent="0.2">
      <c r="A346" t="s">
        <v>1</v>
      </c>
      <c r="B346" t="s">
        <v>15</v>
      </c>
      <c r="C346" t="s">
        <v>46</v>
      </c>
      <c r="D346" t="s">
        <v>64</v>
      </c>
      <c r="E346">
        <v>62.2</v>
      </c>
      <c r="F346" t="s">
        <v>29</v>
      </c>
    </row>
    <row r="347" spans="1:6" x14ac:dyDescent="0.2">
      <c r="A347" t="s">
        <v>1</v>
      </c>
      <c r="B347" t="s">
        <v>15</v>
      </c>
      <c r="C347" t="s">
        <v>47</v>
      </c>
      <c r="D347" t="s">
        <v>64</v>
      </c>
      <c r="E347">
        <v>79.5</v>
      </c>
      <c r="F347" t="s">
        <v>32</v>
      </c>
    </row>
    <row r="348" spans="1:6" x14ac:dyDescent="0.2">
      <c r="A348" t="s">
        <v>1</v>
      </c>
      <c r="B348" t="s">
        <v>15</v>
      </c>
      <c r="C348" t="s">
        <v>48</v>
      </c>
      <c r="D348" t="s">
        <v>64</v>
      </c>
      <c r="E348">
        <v>78</v>
      </c>
      <c r="F348" t="s">
        <v>35</v>
      </c>
    </row>
    <row r="349" spans="1:6" x14ac:dyDescent="0.2">
      <c r="A349" t="s">
        <v>1</v>
      </c>
      <c r="B349" t="s">
        <v>15</v>
      </c>
      <c r="C349" t="s">
        <v>49</v>
      </c>
      <c r="D349" t="s">
        <v>64</v>
      </c>
      <c r="E349">
        <v>62.4</v>
      </c>
      <c r="F349" t="s">
        <v>35</v>
      </c>
    </row>
    <row r="350" spans="1:6" x14ac:dyDescent="0.2">
      <c r="A350" t="s">
        <v>1</v>
      </c>
      <c r="B350" t="s">
        <v>15</v>
      </c>
      <c r="C350" t="s">
        <v>38</v>
      </c>
      <c r="D350" t="s">
        <v>65</v>
      </c>
      <c r="E350">
        <v>81.099999999999994</v>
      </c>
      <c r="F350" t="s">
        <v>18</v>
      </c>
    </row>
    <row r="351" spans="1:6" x14ac:dyDescent="0.2">
      <c r="A351" t="s">
        <v>1</v>
      </c>
      <c r="B351" t="s">
        <v>15</v>
      </c>
      <c r="C351" t="s">
        <v>40</v>
      </c>
      <c r="D351" t="s">
        <v>65</v>
      </c>
      <c r="E351">
        <v>60.2</v>
      </c>
      <c r="F351" t="s">
        <v>18</v>
      </c>
    </row>
    <row r="352" spans="1:6" x14ac:dyDescent="0.2">
      <c r="A352" t="s">
        <v>1</v>
      </c>
      <c r="B352" t="s">
        <v>15</v>
      </c>
      <c r="C352" t="s">
        <v>41</v>
      </c>
      <c r="D352" t="s">
        <v>65</v>
      </c>
      <c r="E352">
        <v>83.6</v>
      </c>
      <c r="F352" t="s">
        <v>22</v>
      </c>
    </row>
    <row r="353" spans="1:6" x14ac:dyDescent="0.2">
      <c r="A353" t="s">
        <v>1</v>
      </c>
      <c r="B353" t="s">
        <v>15</v>
      </c>
      <c r="C353" t="s">
        <v>42</v>
      </c>
      <c r="D353" t="s">
        <v>65</v>
      </c>
      <c r="E353">
        <v>72.400000000000006</v>
      </c>
      <c r="F353" t="s">
        <v>22</v>
      </c>
    </row>
    <row r="354" spans="1:6" x14ac:dyDescent="0.2">
      <c r="A354" t="s">
        <v>1</v>
      </c>
      <c r="B354" t="s">
        <v>15</v>
      </c>
      <c r="C354" t="s">
        <v>39</v>
      </c>
      <c r="D354" t="s">
        <v>65</v>
      </c>
      <c r="E354">
        <v>85.6</v>
      </c>
      <c r="F354" t="s">
        <v>22</v>
      </c>
    </row>
    <row r="355" spans="1:6" x14ac:dyDescent="0.2">
      <c r="A355" t="s">
        <v>1</v>
      </c>
      <c r="B355" t="s">
        <v>15</v>
      </c>
      <c r="C355" t="s">
        <v>43</v>
      </c>
      <c r="D355" t="s">
        <v>65</v>
      </c>
      <c r="E355">
        <v>57.1</v>
      </c>
      <c r="F355" t="s">
        <v>26</v>
      </c>
    </row>
    <row r="356" spans="1:6" x14ac:dyDescent="0.2">
      <c r="A356" t="s">
        <v>1</v>
      </c>
      <c r="B356" t="s">
        <v>15</v>
      </c>
      <c r="C356" t="s">
        <v>44</v>
      </c>
      <c r="D356" t="s">
        <v>65</v>
      </c>
      <c r="E356">
        <v>83.3</v>
      </c>
      <c r="F356" t="s">
        <v>29</v>
      </c>
    </row>
    <row r="357" spans="1:6" x14ac:dyDescent="0.2">
      <c r="A357" t="s">
        <v>1</v>
      </c>
      <c r="B357" t="s">
        <v>15</v>
      </c>
      <c r="C357" t="s">
        <v>45</v>
      </c>
      <c r="D357" t="s">
        <v>65</v>
      </c>
      <c r="E357">
        <v>65.599999999999994</v>
      </c>
      <c r="F357" t="s">
        <v>29</v>
      </c>
    </row>
    <row r="358" spans="1:6" x14ac:dyDescent="0.2">
      <c r="A358" t="s">
        <v>1</v>
      </c>
      <c r="B358" t="s">
        <v>15</v>
      </c>
      <c r="C358" t="s">
        <v>46</v>
      </c>
      <c r="D358" t="s">
        <v>65</v>
      </c>
      <c r="E358">
        <v>78.099999999999994</v>
      </c>
      <c r="F358" t="s">
        <v>29</v>
      </c>
    </row>
    <row r="359" spans="1:6" x14ac:dyDescent="0.2">
      <c r="A359" t="s">
        <v>1</v>
      </c>
      <c r="B359" t="s">
        <v>15</v>
      </c>
      <c r="C359" t="s">
        <v>47</v>
      </c>
      <c r="D359" t="s">
        <v>65</v>
      </c>
      <c r="E359">
        <v>63.9</v>
      </c>
      <c r="F359" t="s">
        <v>32</v>
      </c>
    </row>
    <row r="360" spans="1:6" x14ac:dyDescent="0.2">
      <c r="A360" t="s">
        <v>1</v>
      </c>
      <c r="B360" t="s">
        <v>15</v>
      </c>
      <c r="C360" t="s">
        <v>48</v>
      </c>
      <c r="D360" t="s">
        <v>65</v>
      </c>
      <c r="E360">
        <v>52.3</v>
      </c>
      <c r="F360" t="s">
        <v>35</v>
      </c>
    </row>
    <row r="361" spans="1:6" x14ac:dyDescent="0.2">
      <c r="A361" t="s">
        <v>1</v>
      </c>
      <c r="B361" t="s">
        <v>15</v>
      </c>
      <c r="C361" t="s">
        <v>49</v>
      </c>
      <c r="D361" t="s">
        <v>65</v>
      </c>
      <c r="E361">
        <v>67</v>
      </c>
      <c r="F361" t="s">
        <v>35</v>
      </c>
    </row>
    <row r="362" spans="1:6" x14ac:dyDescent="0.2">
      <c r="A362" t="s">
        <v>1</v>
      </c>
      <c r="B362" t="s">
        <v>15</v>
      </c>
      <c r="C362" t="s">
        <v>38</v>
      </c>
      <c r="D362" t="s">
        <v>66</v>
      </c>
      <c r="E362">
        <v>83</v>
      </c>
      <c r="F362" t="s">
        <v>18</v>
      </c>
    </row>
    <row r="363" spans="1:6" x14ac:dyDescent="0.2">
      <c r="A363" t="s">
        <v>1</v>
      </c>
      <c r="B363" t="s">
        <v>15</v>
      </c>
      <c r="C363" t="s">
        <v>40</v>
      </c>
      <c r="D363" t="s">
        <v>66</v>
      </c>
      <c r="E363">
        <v>57.8</v>
      </c>
      <c r="F363" t="s">
        <v>18</v>
      </c>
    </row>
    <row r="364" spans="1:6" x14ac:dyDescent="0.2">
      <c r="A364" t="s">
        <v>1</v>
      </c>
      <c r="B364" t="s">
        <v>15</v>
      </c>
      <c r="C364" t="s">
        <v>41</v>
      </c>
      <c r="D364" t="s">
        <v>66</v>
      </c>
      <c r="E364">
        <v>76.099999999999994</v>
      </c>
      <c r="F364" t="s">
        <v>22</v>
      </c>
    </row>
    <row r="365" spans="1:6" x14ac:dyDescent="0.2">
      <c r="A365" t="s">
        <v>1</v>
      </c>
      <c r="B365" t="s">
        <v>15</v>
      </c>
      <c r="C365" t="s">
        <v>42</v>
      </c>
      <c r="D365" t="s">
        <v>66</v>
      </c>
      <c r="E365">
        <v>71.8</v>
      </c>
      <c r="F365" t="s">
        <v>22</v>
      </c>
    </row>
    <row r="366" spans="1:6" x14ac:dyDescent="0.2">
      <c r="A366" t="s">
        <v>1</v>
      </c>
      <c r="B366" t="s">
        <v>15</v>
      </c>
      <c r="C366" t="s">
        <v>39</v>
      </c>
      <c r="D366" t="s">
        <v>66</v>
      </c>
      <c r="E366">
        <v>72.900000000000006</v>
      </c>
      <c r="F366" t="s">
        <v>22</v>
      </c>
    </row>
    <row r="367" spans="1:6" x14ac:dyDescent="0.2">
      <c r="A367" t="s">
        <v>1</v>
      </c>
      <c r="B367" t="s">
        <v>15</v>
      </c>
      <c r="C367" t="s">
        <v>43</v>
      </c>
      <c r="D367" t="s">
        <v>66</v>
      </c>
      <c r="E367">
        <v>69.599999999999994</v>
      </c>
      <c r="F367" t="s">
        <v>26</v>
      </c>
    </row>
    <row r="368" spans="1:6" x14ac:dyDescent="0.2">
      <c r="A368" t="s">
        <v>1</v>
      </c>
      <c r="B368" t="s">
        <v>15</v>
      </c>
      <c r="C368" t="s">
        <v>44</v>
      </c>
      <c r="D368" t="s">
        <v>66</v>
      </c>
      <c r="E368">
        <v>65.400000000000006</v>
      </c>
      <c r="F368" t="s">
        <v>29</v>
      </c>
    </row>
    <row r="369" spans="1:6" x14ac:dyDescent="0.2">
      <c r="A369" t="s">
        <v>1</v>
      </c>
      <c r="B369" t="s">
        <v>15</v>
      </c>
      <c r="C369" t="s">
        <v>45</v>
      </c>
      <c r="D369" t="s">
        <v>66</v>
      </c>
      <c r="E369">
        <v>79.400000000000006</v>
      </c>
      <c r="F369" t="s">
        <v>29</v>
      </c>
    </row>
    <row r="370" spans="1:6" x14ac:dyDescent="0.2">
      <c r="A370" t="s">
        <v>1</v>
      </c>
      <c r="B370" t="s">
        <v>15</v>
      </c>
      <c r="C370" t="s">
        <v>46</v>
      </c>
      <c r="D370" t="s">
        <v>66</v>
      </c>
      <c r="E370">
        <v>54</v>
      </c>
      <c r="F370" t="s">
        <v>29</v>
      </c>
    </row>
    <row r="371" spans="1:6" x14ac:dyDescent="0.2">
      <c r="A371" t="s">
        <v>1</v>
      </c>
      <c r="B371" t="s">
        <v>15</v>
      </c>
      <c r="C371" t="s">
        <v>47</v>
      </c>
      <c r="D371" t="s">
        <v>66</v>
      </c>
      <c r="E371">
        <v>81.099999999999994</v>
      </c>
      <c r="F371" t="s">
        <v>32</v>
      </c>
    </row>
    <row r="372" spans="1:6" x14ac:dyDescent="0.2">
      <c r="A372" t="s">
        <v>1</v>
      </c>
      <c r="B372" t="s">
        <v>15</v>
      </c>
      <c r="C372" t="s">
        <v>48</v>
      </c>
      <c r="D372" t="s">
        <v>66</v>
      </c>
      <c r="E372">
        <v>65.2</v>
      </c>
      <c r="F372" t="s">
        <v>35</v>
      </c>
    </row>
    <row r="373" spans="1:6" x14ac:dyDescent="0.2">
      <c r="A373" t="s">
        <v>1</v>
      </c>
      <c r="B373" t="s">
        <v>15</v>
      </c>
      <c r="C373" t="s">
        <v>49</v>
      </c>
      <c r="D373" t="s">
        <v>66</v>
      </c>
      <c r="E373">
        <v>75.599999999999994</v>
      </c>
      <c r="F373" t="s">
        <v>35</v>
      </c>
    </row>
    <row r="374" spans="1:6" x14ac:dyDescent="0.2">
      <c r="A374" t="s">
        <v>1</v>
      </c>
      <c r="B374" t="s">
        <v>15</v>
      </c>
      <c r="C374" t="s">
        <v>38</v>
      </c>
      <c r="D374" t="s">
        <v>67</v>
      </c>
      <c r="E374">
        <v>83.3</v>
      </c>
      <c r="F374" t="s">
        <v>18</v>
      </c>
    </row>
    <row r="375" spans="1:6" x14ac:dyDescent="0.2">
      <c r="A375" t="s">
        <v>1</v>
      </c>
      <c r="B375" t="s">
        <v>15</v>
      </c>
      <c r="C375" t="s">
        <v>40</v>
      </c>
      <c r="D375" t="s">
        <v>67</v>
      </c>
      <c r="E375">
        <v>67.8</v>
      </c>
      <c r="F375" t="s">
        <v>18</v>
      </c>
    </row>
    <row r="376" spans="1:6" x14ac:dyDescent="0.2">
      <c r="A376" t="s">
        <v>1</v>
      </c>
      <c r="B376" t="s">
        <v>15</v>
      </c>
      <c r="C376" t="s">
        <v>41</v>
      </c>
      <c r="D376" t="s">
        <v>67</v>
      </c>
      <c r="E376">
        <v>71.3</v>
      </c>
      <c r="F376" t="s">
        <v>22</v>
      </c>
    </row>
    <row r="377" spans="1:6" x14ac:dyDescent="0.2">
      <c r="A377" t="s">
        <v>1</v>
      </c>
      <c r="B377" t="s">
        <v>15</v>
      </c>
      <c r="C377" t="s">
        <v>42</v>
      </c>
      <c r="D377" t="s">
        <v>67</v>
      </c>
      <c r="E377">
        <v>60.7</v>
      </c>
      <c r="F377" t="s">
        <v>22</v>
      </c>
    </row>
    <row r="378" spans="1:6" x14ac:dyDescent="0.2">
      <c r="A378" t="s">
        <v>1</v>
      </c>
      <c r="B378" t="s">
        <v>15</v>
      </c>
      <c r="C378" t="s">
        <v>39</v>
      </c>
      <c r="D378" t="s">
        <v>67</v>
      </c>
      <c r="E378">
        <v>79.3</v>
      </c>
      <c r="F378" t="s">
        <v>22</v>
      </c>
    </row>
    <row r="379" spans="1:6" x14ac:dyDescent="0.2">
      <c r="A379" t="s">
        <v>1</v>
      </c>
      <c r="B379" t="s">
        <v>15</v>
      </c>
      <c r="C379" t="s">
        <v>43</v>
      </c>
      <c r="D379" t="s">
        <v>67</v>
      </c>
      <c r="E379">
        <v>62.9</v>
      </c>
      <c r="F379" t="s">
        <v>26</v>
      </c>
    </row>
    <row r="380" spans="1:6" x14ac:dyDescent="0.2">
      <c r="A380" t="s">
        <v>1</v>
      </c>
      <c r="B380" t="s">
        <v>15</v>
      </c>
      <c r="C380" t="s">
        <v>44</v>
      </c>
      <c r="D380" t="s">
        <v>67</v>
      </c>
      <c r="E380">
        <v>66.8</v>
      </c>
      <c r="F380" t="s">
        <v>29</v>
      </c>
    </row>
    <row r="381" spans="1:6" x14ac:dyDescent="0.2">
      <c r="A381" t="s">
        <v>1</v>
      </c>
      <c r="B381" t="s">
        <v>15</v>
      </c>
      <c r="C381" t="s">
        <v>45</v>
      </c>
      <c r="D381" t="s">
        <v>67</v>
      </c>
      <c r="E381">
        <v>83</v>
      </c>
      <c r="F381" t="s">
        <v>29</v>
      </c>
    </row>
    <row r="382" spans="1:6" x14ac:dyDescent="0.2">
      <c r="A382" t="s">
        <v>1</v>
      </c>
      <c r="B382" t="s">
        <v>15</v>
      </c>
      <c r="C382" t="s">
        <v>46</v>
      </c>
      <c r="D382" t="s">
        <v>67</v>
      </c>
      <c r="E382">
        <v>72</v>
      </c>
      <c r="F382" t="s">
        <v>29</v>
      </c>
    </row>
    <row r="383" spans="1:6" x14ac:dyDescent="0.2">
      <c r="A383" t="s">
        <v>1</v>
      </c>
      <c r="B383" t="s">
        <v>15</v>
      </c>
      <c r="C383" t="s">
        <v>47</v>
      </c>
      <c r="D383" t="s">
        <v>67</v>
      </c>
      <c r="E383">
        <v>64.8</v>
      </c>
      <c r="F383" t="s">
        <v>32</v>
      </c>
    </row>
    <row r="384" spans="1:6" x14ac:dyDescent="0.2">
      <c r="A384" t="s">
        <v>1</v>
      </c>
      <c r="B384" t="s">
        <v>15</v>
      </c>
      <c r="C384" t="s">
        <v>48</v>
      </c>
      <c r="D384" t="s">
        <v>67</v>
      </c>
      <c r="E384">
        <v>58.3</v>
      </c>
      <c r="F384" t="s">
        <v>35</v>
      </c>
    </row>
    <row r="385" spans="1:6" x14ac:dyDescent="0.2">
      <c r="A385" t="s">
        <v>1</v>
      </c>
      <c r="B385" t="s">
        <v>15</v>
      </c>
      <c r="C385" t="s">
        <v>49</v>
      </c>
      <c r="D385" t="s">
        <v>67</v>
      </c>
      <c r="E385">
        <v>66.3</v>
      </c>
      <c r="F385" t="s">
        <v>35</v>
      </c>
    </row>
    <row r="386" spans="1:6" x14ac:dyDescent="0.2">
      <c r="A386" t="s">
        <v>1</v>
      </c>
      <c r="B386" t="s">
        <v>15</v>
      </c>
      <c r="C386" t="s">
        <v>38</v>
      </c>
      <c r="D386" t="s">
        <v>68</v>
      </c>
      <c r="E386">
        <v>75.900000000000006</v>
      </c>
      <c r="F386" t="s">
        <v>18</v>
      </c>
    </row>
    <row r="387" spans="1:6" x14ac:dyDescent="0.2">
      <c r="A387" t="s">
        <v>1</v>
      </c>
      <c r="B387" t="s">
        <v>15</v>
      </c>
      <c r="C387" t="s">
        <v>40</v>
      </c>
      <c r="D387" t="s">
        <v>68</v>
      </c>
      <c r="E387">
        <v>57.3</v>
      </c>
      <c r="F387" t="s">
        <v>18</v>
      </c>
    </row>
    <row r="388" spans="1:6" x14ac:dyDescent="0.2">
      <c r="A388" t="s">
        <v>1</v>
      </c>
      <c r="B388" t="s">
        <v>15</v>
      </c>
      <c r="C388" t="s">
        <v>41</v>
      </c>
      <c r="D388" t="s">
        <v>68</v>
      </c>
      <c r="E388">
        <v>66.5</v>
      </c>
      <c r="F388" t="s">
        <v>22</v>
      </c>
    </row>
    <row r="389" spans="1:6" x14ac:dyDescent="0.2">
      <c r="A389" t="s">
        <v>1</v>
      </c>
      <c r="B389" t="s">
        <v>15</v>
      </c>
      <c r="C389" t="s">
        <v>42</v>
      </c>
      <c r="D389" t="s">
        <v>68</v>
      </c>
      <c r="E389">
        <v>69.5</v>
      </c>
      <c r="F389" t="s">
        <v>22</v>
      </c>
    </row>
    <row r="390" spans="1:6" x14ac:dyDescent="0.2">
      <c r="A390" t="s">
        <v>1</v>
      </c>
      <c r="B390" t="s">
        <v>15</v>
      </c>
      <c r="C390" t="s">
        <v>39</v>
      </c>
      <c r="D390" t="s">
        <v>68</v>
      </c>
      <c r="E390">
        <v>85.6</v>
      </c>
      <c r="F390" t="s">
        <v>22</v>
      </c>
    </row>
    <row r="391" spans="1:6" x14ac:dyDescent="0.2">
      <c r="A391" t="s">
        <v>1</v>
      </c>
      <c r="B391" t="s">
        <v>15</v>
      </c>
      <c r="C391" t="s">
        <v>43</v>
      </c>
      <c r="D391" t="s">
        <v>68</v>
      </c>
      <c r="E391">
        <v>72.3</v>
      </c>
      <c r="F391" t="s">
        <v>26</v>
      </c>
    </row>
    <row r="392" spans="1:6" x14ac:dyDescent="0.2">
      <c r="A392" t="s">
        <v>1</v>
      </c>
      <c r="B392" t="s">
        <v>15</v>
      </c>
      <c r="C392" t="s">
        <v>44</v>
      </c>
      <c r="D392" t="s">
        <v>68</v>
      </c>
      <c r="E392">
        <v>81.599999999999994</v>
      </c>
      <c r="F392" t="s">
        <v>29</v>
      </c>
    </row>
    <row r="393" spans="1:6" x14ac:dyDescent="0.2">
      <c r="A393" t="s">
        <v>1</v>
      </c>
      <c r="B393" t="s">
        <v>15</v>
      </c>
      <c r="C393" t="s">
        <v>45</v>
      </c>
      <c r="D393" t="s">
        <v>68</v>
      </c>
      <c r="E393">
        <v>77</v>
      </c>
      <c r="F393" t="s">
        <v>29</v>
      </c>
    </row>
    <row r="394" spans="1:6" x14ac:dyDescent="0.2">
      <c r="A394" t="s">
        <v>1</v>
      </c>
      <c r="B394" t="s">
        <v>15</v>
      </c>
      <c r="C394" t="s">
        <v>46</v>
      </c>
      <c r="D394" t="s">
        <v>68</v>
      </c>
      <c r="E394">
        <v>61.5</v>
      </c>
      <c r="F394" t="s">
        <v>29</v>
      </c>
    </row>
    <row r="395" spans="1:6" x14ac:dyDescent="0.2">
      <c r="A395" t="s">
        <v>1</v>
      </c>
      <c r="B395" t="s">
        <v>15</v>
      </c>
      <c r="C395" t="s">
        <v>47</v>
      </c>
      <c r="D395" t="s">
        <v>68</v>
      </c>
      <c r="E395">
        <v>71.2</v>
      </c>
      <c r="F395" t="s">
        <v>32</v>
      </c>
    </row>
    <row r="396" spans="1:6" x14ac:dyDescent="0.2">
      <c r="A396" t="s">
        <v>1</v>
      </c>
      <c r="B396" t="s">
        <v>15</v>
      </c>
      <c r="C396" t="s">
        <v>48</v>
      </c>
      <c r="D396" t="s">
        <v>68</v>
      </c>
      <c r="E396">
        <v>49</v>
      </c>
      <c r="F396" t="s">
        <v>35</v>
      </c>
    </row>
    <row r="397" spans="1:6" x14ac:dyDescent="0.2">
      <c r="A397" t="s">
        <v>1</v>
      </c>
      <c r="B397" t="s">
        <v>15</v>
      </c>
      <c r="C397" t="s">
        <v>49</v>
      </c>
      <c r="D397" t="s">
        <v>68</v>
      </c>
      <c r="E397">
        <v>62.6</v>
      </c>
      <c r="F397" t="s">
        <v>35</v>
      </c>
    </row>
    <row r="398" spans="1:6" x14ac:dyDescent="0.2">
      <c r="A398" t="s">
        <v>1</v>
      </c>
      <c r="B398" t="s">
        <v>15</v>
      </c>
      <c r="C398" t="s">
        <v>38</v>
      </c>
      <c r="D398" t="s">
        <v>69</v>
      </c>
      <c r="E398">
        <v>76.5</v>
      </c>
      <c r="F398" t="s">
        <v>18</v>
      </c>
    </row>
    <row r="399" spans="1:6" x14ac:dyDescent="0.2">
      <c r="A399" t="s">
        <v>1</v>
      </c>
      <c r="B399" t="s">
        <v>15</v>
      </c>
      <c r="C399" t="s">
        <v>40</v>
      </c>
      <c r="D399" t="s">
        <v>69</v>
      </c>
      <c r="E399">
        <v>65.2</v>
      </c>
      <c r="F399" t="s">
        <v>18</v>
      </c>
    </row>
    <row r="400" spans="1:6" x14ac:dyDescent="0.2">
      <c r="A400" t="s">
        <v>1</v>
      </c>
      <c r="B400" t="s">
        <v>15</v>
      </c>
      <c r="C400" t="s">
        <v>41</v>
      </c>
      <c r="D400" t="s">
        <v>69</v>
      </c>
      <c r="E400">
        <v>77.099999999999994</v>
      </c>
      <c r="F400" t="s">
        <v>22</v>
      </c>
    </row>
    <row r="401" spans="1:6" x14ac:dyDescent="0.2">
      <c r="A401" t="s">
        <v>1</v>
      </c>
      <c r="B401" t="s">
        <v>15</v>
      </c>
      <c r="C401" t="s">
        <v>42</v>
      </c>
      <c r="D401" t="s">
        <v>69</v>
      </c>
      <c r="E401">
        <v>70.599999999999994</v>
      </c>
      <c r="F401" t="s">
        <v>22</v>
      </c>
    </row>
    <row r="402" spans="1:6" x14ac:dyDescent="0.2">
      <c r="A402" t="s">
        <v>1</v>
      </c>
      <c r="B402" t="s">
        <v>15</v>
      </c>
      <c r="C402" t="s">
        <v>39</v>
      </c>
      <c r="D402" t="s">
        <v>69</v>
      </c>
      <c r="E402">
        <v>74.2</v>
      </c>
      <c r="F402" t="s">
        <v>22</v>
      </c>
    </row>
    <row r="403" spans="1:6" x14ac:dyDescent="0.2">
      <c r="A403" t="s">
        <v>1</v>
      </c>
      <c r="B403" t="s">
        <v>15</v>
      </c>
      <c r="C403" t="s">
        <v>43</v>
      </c>
      <c r="D403" t="s">
        <v>69</v>
      </c>
      <c r="E403">
        <v>59.8</v>
      </c>
      <c r="F403" t="s">
        <v>26</v>
      </c>
    </row>
    <row r="404" spans="1:6" x14ac:dyDescent="0.2">
      <c r="A404" t="s">
        <v>1</v>
      </c>
      <c r="B404" t="s">
        <v>15</v>
      </c>
      <c r="C404" t="s">
        <v>44</v>
      </c>
      <c r="D404" t="s">
        <v>69</v>
      </c>
      <c r="E404">
        <v>70.8</v>
      </c>
      <c r="F404" t="s">
        <v>29</v>
      </c>
    </row>
    <row r="405" spans="1:6" x14ac:dyDescent="0.2">
      <c r="A405" t="s">
        <v>1</v>
      </c>
      <c r="B405" t="s">
        <v>15</v>
      </c>
      <c r="C405" t="s">
        <v>45</v>
      </c>
      <c r="D405" t="s">
        <v>69</v>
      </c>
      <c r="E405">
        <v>84.4</v>
      </c>
      <c r="F405" t="s">
        <v>29</v>
      </c>
    </row>
    <row r="406" spans="1:6" x14ac:dyDescent="0.2">
      <c r="A406" t="s">
        <v>1</v>
      </c>
      <c r="B406" t="s">
        <v>15</v>
      </c>
      <c r="C406" t="s">
        <v>46</v>
      </c>
      <c r="D406" t="s">
        <v>69</v>
      </c>
      <c r="E406">
        <v>73.900000000000006</v>
      </c>
      <c r="F406" t="s">
        <v>29</v>
      </c>
    </row>
    <row r="407" spans="1:6" x14ac:dyDescent="0.2">
      <c r="A407" t="s">
        <v>1</v>
      </c>
      <c r="B407" t="s">
        <v>15</v>
      </c>
      <c r="C407" t="s">
        <v>47</v>
      </c>
      <c r="D407" t="s">
        <v>69</v>
      </c>
      <c r="E407">
        <v>61.4</v>
      </c>
      <c r="F407" t="s">
        <v>32</v>
      </c>
    </row>
    <row r="408" spans="1:6" x14ac:dyDescent="0.2">
      <c r="A408" t="s">
        <v>1</v>
      </c>
      <c r="B408" t="s">
        <v>15</v>
      </c>
      <c r="C408" t="s">
        <v>48</v>
      </c>
      <c r="D408" t="s">
        <v>69</v>
      </c>
      <c r="E408">
        <v>51.5</v>
      </c>
      <c r="F408" t="s">
        <v>35</v>
      </c>
    </row>
    <row r="409" spans="1:6" x14ac:dyDescent="0.2">
      <c r="A409" t="s">
        <v>1</v>
      </c>
      <c r="B409" t="s">
        <v>15</v>
      </c>
      <c r="C409" t="s">
        <v>49</v>
      </c>
      <c r="D409" t="s">
        <v>69</v>
      </c>
      <c r="E409">
        <v>69.5</v>
      </c>
      <c r="F409" t="s">
        <v>35</v>
      </c>
    </row>
    <row r="410" spans="1:6" x14ac:dyDescent="0.2">
      <c r="A410" t="s">
        <v>1</v>
      </c>
      <c r="B410" t="s">
        <v>15</v>
      </c>
      <c r="C410" t="s">
        <v>38</v>
      </c>
      <c r="D410" t="s">
        <v>70</v>
      </c>
      <c r="E410">
        <v>80.900000000000006</v>
      </c>
      <c r="F410" t="s">
        <v>18</v>
      </c>
    </row>
    <row r="411" spans="1:6" x14ac:dyDescent="0.2">
      <c r="A411" t="s">
        <v>1</v>
      </c>
      <c r="B411" t="s">
        <v>15</v>
      </c>
      <c r="C411" t="s">
        <v>40</v>
      </c>
      <c r="D411" t="s">
        <v>70</v>
      </c>
      <c r="E411">
        <v>58.4</v>
      </c>
      <c r="F411" t="s">
        <v>18</v>
      </c>
    </row>
    <row r="412" spans="1:6" x14ac:dyDescent="0.2">
      <c r="A412" t="s">
        <v>1</v>
      </c>
      <c r="B412" t="s">
        <v>15</v>
      </c>
      <c r="C412" t="s">
        <v>41</v>
      </c>
      <c r="D412" t="s">
        <v>70</v>
      </c>
      <c r="E412">
        <v>80.400000000000006</v>
      </c>
      <c r="F412" t="s">
        <v>22</v>
      </c>
    </row>
    <row r="413" spans="1:6" x14ac:dyDescent="0.2">
      <c r="A413" t="s">
        <v>1</v>
      </c>
      <c r="B413" t="s">
        <v>15</v>
      </c>
      <c r="C413" t="s">
        <v>42</v>
      </c>
      <c r="D413" t="s">
        <v>70</v>
      </c>
      <c r="E413">
        <v>77.8</v>
      </c>
      <c r="F413" t="s">
        <v>22</v>
      </c>
    </row>
    <row r="414" spans="1:6" x14ac:dyDescent="0.2">
      <c r="A414" t="s">
        <v>1</v>
      </c>
      <c r="B414" t="s">
        <v>15</v>
      </c>
      <c r="C414" t="s">
        <v>39</v>
      </c>
      <c r="D414" t="s">
        <v>70</v>
      </c>
      <c r="E414">
        <v>79.5</v>
      </c>
      <c r="F414" t="s">
        <v>22</v>
      </c>
    </row>
    <row r="415" spans="1:6" x14ac:dyDescent="0.2">
      <c r="A415" t="s">
        <v>1</v>
      </c>
      <c r="B415" t="s">
        <v>15</v>
      </c>
      <c r="C415" t="s">
        <v>43</v>
      </c>
      <c r="D415" t="s">
        <v>70</v>
      </c>
      <c r="E415">
        <v>60.1</v>
      </c>
      <c r="F415" t="s">
        <v>26</v>
      </c>
    </row>
    <row r="416" spans="1:6" x14ac:dyDescent="0.2">
      <c r="A416" t="s">
        <v>1</v>
      </c>
      <c r="B416" t="s">
        <v>15</v>
      </c>
      <c r="C416" t="s">
        <v>44</v>
      </c>
      <c r="D416" t="s">
        <v>70</v>
      </c>
      <c r="E416">
        <v>64</v>
      </c>
      <c r="F416" t="s">
        <v>29</v>
      </c>
    </row>
    <row r="417" spans="1:6" x14ac:dyDescent="0.2">
      <c r="A417" t="s">
        <v>1</v>
      </c>
      <c r="B417" t="s">
        <v>15</v>
      </c>
      <c r="C417" t="s">
        <v>45</v>
      </c>
      <c r="D417" t="s">
        <v>70</v>
      </c>
      <c r="E417">
        <v>61.6</v>
      </c>
      <c r="F417" t="s">
        <v>29</v>
      </c>
    </row>
    <row r="418" spans="1:6" x14ac:dyDescent="0.2">
      <c r="A418" t="s">
        <v>1</v>
      </c>
      <c r="B418" t="s">
        <v>15</v>
      </c>
      <c r="C418" t="s">
        <v>46</v>
      </c>
      <c r="D418" t="s">
        <v>70</v>
      </c>
      <c r="E418">
        <v>60.1</v>
      </c>
      <c r="F418" t="s">
        <v>29</v>
      </c>
    </row>
    <row r="419" spans="1:6" x14ac:dyDescent="0.2">
      <c r="A419" t="s">
        <v>1</v>
      </c>
      <c r="B419" t="s">
        <v>15</v>
      </c>
      <c r="C419" t="s">
        <v>47</v>
      </c>
      <c r="D419" t="s">
        <v>70</v>
      </c>
      <c r="E419">
        <v>69.400000000000006</v>
      </c>
      <c r="F419" t="s">
        <v>32</v>
      </c>
    </row>
    <row r="420" spans="1:6" x14ac:dyDescent="0.2">
      <c r="A420" t="s">
        <v>1</v>
      </c>
      <c r="B420" t="s">
        <v>15</v>
      </c>
      <c r="C420" t="s">
        <v>48</v>
      </c>
      <c r="D420" t="s">
        <v>70</v>
      </c>
      <c r="E420">
        <v>74.5</v>
      </c>
      <c r="F420" t="s">
        <v>35</v>
      </c>
    </row>
    <row r="421" spans="1:6" x14ac:dyDescent="0.2">
      <c r="A421" t="s">
        <v>1</v>
      </c>
      <c r="B421" t="s">
        <v>15</v>
      </c>
      <c r="C421" t="s">
        <v>49</v>
      </c>
      <c r="D421" t="s">
        <v>70</v>
      </c>
      <c r="E421">
        <v>56.2</v>
      </c>
      <c r="F421" t="s">
        <v>35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86A54"/>
  </sheetPr>
  <dimension ref="A1:F10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5" x14ac:dyDescent="0.2"/>
  <cols>
    <col min="1" max="1" width="17" customWidth="1"/>
    <col min="2" max="2" width="12" customWidth="1"/>
    <col min="3" max="3" width="11" customWidth="1"/>
    <col min="4" max="4" width="28" customWidth="1"/>
    <col min="5" max="5" width="49" customWidth="1"/>
    <col min="6" max="6" width="23" customWidth="1"/>
  </cols>
  <sheetData>
    <row r="1" spans="1:6" ht="28" x14ac:dyDescent="0.2">
      <c r="A1" s="4" t="s">
        <v>237</v>
      </c>
      <c r="B1" s="4" t="s">
        <v>239</v>
      </c>
      <c r="C1" s="4" t="s">
        <v>249</v>
      </c>
      <c r="D1" s="4" t="s">
        <v>250</v>
      </c>
      <c r="E1" s="4" t="s">
        <v>251</v>
      </c>
      <c r="F1" s="4" t="s">
        <v>252</v>
      </c>
    </row>
    <row r="2" spans="1:6" x14ac:dyDescent="0.2">
      <c r="A2" s="2" t="s">
        <v>0</v>
      </c>
      <c r="B2" s="2" t="s">
        <v>22</v>
      </c>
      <c r="C2" s="2" t="s">
        <v>71</v>
      </c>
      <c r="D2" s="2" t="s">
        <v>24</v>
      </c>
      <c r="E2" s="2" t="s">
        <v>72</v>
      </c>
      <c r="F2" s="2" t="s">
        <v>73</v>
      </c>
    </row>
    <row r="3" spans="1:6" x14ac:dyDescent="0.2">
      <c r="A3" s="3" t="s">
        <v>0</v>
      </c>
      <c r="B3" s="3" t="s">
        <v>18</v>
      </c>
      <c r="C3" s="3" t="s">
        <v>74</v>
      </c>
      <c r="D3" s="3" t="s">
        <v>20</v>
      </c>
      <c r="E3" s="3" t="s">
        <v>75</v>
      </c>
      <c r="F3" s="3" t="s">
        <v>76</v>
      </c>
    </row>
    <row r="4" spans="1:6" x14ac:dyDescent="0.2">
      <c r="A4" s="2" t="s">
        <v>0</v>
      </c>
      <c r="B4" s="2" t="s">
        <v>26</v>
      </c>
      <c r="C4" s="2" t="s">
        <v>77</v>
      </c>
      <c r="D4" s="2" t="s">
        <v>27</v>
      </c>
      <c r="E4" s="2" t="s">
        <v>78</v>
      </c>
      <c r="F4" s="2" t="s">
        <v>79</v>
      </c>
    </row>
    <row r="5" spans="1:6" x14ac:dyDescent="0.2">
      <c r="A5" s="3" t="s">
        <v>0</v>
      </c>
      <c r="B5" s="3" t="s">
        <v>35</v>
      </c>
      <c r="C5" s="3" t="s">
        <v>71</v>
      </c>
      <c r="D5" s="3" t="s">
        <v>36</v>
      </c>
      <c r="E5" s="3" t="s">
        <v>80</v>
      </c>
      <c r="F5" s="3" t="s">
        <v>81</v>
      </c>
    </row>
    <row r="6" spans="1:6" x14ac:dyDescent="0.2">
      <c r="A6" s="2" t="s">
        <v>0</v>
      </c>
      <c r="B6" s="2" t="s">
        <v>29</v>
      </c>
      <c r="C6" s="2" t="s">
        <v>74</v>
      </c>
      <c r="D6" s="2" t="s">
        <v>30</v>
      </c>
      <c r="E6" s="2" t="s">
        <v>82</v>
      </c>
      <c r="F6" s="2" t="s">
        <v>83</v>
      </c>
    </row>
    <row r="7" spans="1:6" x14ac:dyDescent="0.2">
      <c r="A7" s="3" t="s">
        <v>0</v>
      </c>
      <c r="B7" s="3" t="s">
        <v>32</v>
      </c>
      <c r="C7" s="3" t="s">
        <v>74</v>
      </c>
      <c r="D7" s="3" t="s">
        <v>33</v>
      </c>
      <c r="E7" s="3" t="s">
        <v>84</v>
      </c>
      <c r="F7" s="3" t="s">
        <v>85</v>
      </c>
    </row>
    <row r="8" spans="1:6" x14ac:dyDescent="0.2">
      <c r="A8" s="2" t="s">
        <v>0</v>
      </c>
      <c r="B8" s="2" t="s">
        <v>22</v>
      </c>
      <c r="C8" s="2" t="s">
        <v>74</v>
      </c>
      <c r="D8" s="2" t="s">
        <v>24</v>
      </c>
      <c r="E8" s="2" t="s">
        <v>86</v>
      </c>
      <c r="F8" s="2" t="s">
        <v>87</v>
      </c>
    </row>
    <row r="9" spans="1:6" x14ac:dyDescent="0.2">
      <c r="A9" s="3" t="s">
        <v>2</v>
      </c>
      <c r="B9" s="3" t="s">
        <v>22</v>
      </c>
      <c r="C9" s="3" t="s">
        <v>71</v>
      </c>
      <c r="D9" s="3" t="s">
        <v>24</v>
      </c>
      <c r="E9" s="3" t="s">
        <v>88</v>
      </c>
      <c r="F9" s="3" t="s">
        <v>89</v>
      </c>
    </row>
    <row r="10" spans="1:6" x14ac:dyDescent="0.2">
      <c r="A10" s="2" t="s">
        <v>1</v>
      </c>
      <c r="B10" s="2" t="s">
        <v>32</v>
      </c>
      <c r="C10" s="2" t="s">
        <v>74</v>
      </c>
      <c r="D10" s="2" t="s">
        <v>33</v>
      </c>
      <c r="E10" s="2" t="s">
        <v>90</v>
      </c>
      <c r="F10" s="2" t="s">
        <v>91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86A54"/>
  </sheetPr>
  <dimension ref="A1:F11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15" customWidth="1"/>
    <col min="4" max="4" width="50" customWidth="1"/>
    <col min="5" max="5" width="22" customWidth="1"/>
    <col min="6" max="6" width="23" customWidth="1"/>
  </cols>
  <sheetData>
    <row r="1" spans="1:6" ht="28" x14ac:dyDescent="0.2">
      <c r="A1" s="4" t="s">
        <v>237</v>
      </c>
      <c r="B1" s="4" t="s">
        <v>238</v>
      </c>
      <c r="C1" s="4" t="s">
        <v>253</v>
      </c>
      <c r="D1" s="4" t="s">
        <v>254</v>
      </c>
      <c r="E1" s="4" t="s">
        <v>255</v>
      </c>
      <c r="F1" s="4" t="s">
        <v>256</v>
      </c>
    </row>
    <row r="2" spans="1:6" x14ac:dyDescent="0.2">
      <c r="A2" s="2" t="s">
        <v>0</v>
      </c>
      <c r="B2" s="2" t="s">
        <v>15</v>
      </c>
      <c r="C2" s="2" t="s">
        <v>92</v>
      </c>
      <c r="D2" s="2" t="s">
        <v>93</v>
      </c>
      <c r="E2" s="2" t="s">
        <v>94</v>
      </c>
      <c r="F2" s="2" t="s">
        <v>73</v>
      </c>
    </row>
    <row r="3" spans="1:6" x14ac:dyDescent="0.2">
      <c r="A3" s="3" t="s">
        <v>0</v>
      </c>
      <c r="B3" s="3" t="s">
        <v>15</v>
      </c>
      <c r="C3" s="3" t="s">
        <v>95</v>
      </c>
      <c r="D3" s="3" t="s">
        <v>96</v>
      </c>
      <c r="E3" s="3" t="s">
        <v>97</v>
      </c>
      <c r="F3" s="3" t="s">
        <v>98</v>
      </c>
    </row>
    <row r="4" spans="1:6" x14ac:dyDescent="0.2">
      <c r="A4" s="2" t="s">
        <v>0</v>
      </c>
      <c r="B4" s="2" t="s">
        <v>15</v>
      </c>
      <c r="C4" s="2" t="s">
        <v>42</v>
      </c>
      <c r="D4" s="2" t="s">
        <v>99</v>
      </c>
      <c r="E4" s="2" t="s">
        <v>100</v>
      </c>
      <c r="F4" s="2" t="s">
        <v>101</v>
      </c>
    </row>
    <row r="5" spans="1:6" x14ac:dyDescent="0.2">
      <c r="A5" s="3" t="s">
        <v>0</v>
      </c>
      <c r="B5" s="3" t="s">
        <v>15</v>
      </c>
      <c r="C5" s="3" t="s">
        <v>92</v>
      </c>
      <c r="D5" s="3" t="s">
        <v>102</v>
      </c>
      <c r="E5" s="3" t="s">
        <v>103</v>
      </c>
      <c r="F5" s="3" t="s">
        <v>104</v>
      </c>
    </row>
    <row r="6" spans="1:6" x14ac:dyDescent="0.2">
      <c r="A6" s="2" t="s">
        <v>0</v>
      </c>
      <c r="B6" s="2" t="s">
        <v>15</v>
      </c>
      <c r="C6" s="2" t="s">
        <v>105</v>
      </c>
      <c r="D6" s="2" t="s">
        <v>106</v>
      </c>
      <c r="E6" s="2" t="s">
        <v>107</v>
      </c>
      <c r="F6" s="2" t="s">
        <v>108</v>
      </c>
    </row>
    <row r="7" spans="1:6" x14ac:dyDescent="0.2">
      <c r="A7" s="3" t="s">
        <v>0</v>
      </c>
      <c r="B7" s="3" t="s">
        <v>15</v>
      </c>
      <c r="C7" s="3" t="s">
        <v>95</v>
      </c>
      <c r="D7" s="3" t="s">
        <v>109</v>
      </c>
      <c r="E7" s="3" t="s">
        <v>110</v>
      </c>
      <c r="F7" s="3" t="s">
        <v>111</v>
      </c>
    </row>
    <row r="8" spans="1:6" x14ac:dyDescent="0.2">
      <c r="A8" s="2" t="s">
        <v>0</v>
      </c>
      <c r="B8" s="2" t="s">
        <v>15</v>
      </c>
      <c r="C8" s="2" t="s">
        <v>42</v>
      </c>
      <c r="D8" s="2" t="s">
        <v>112</v>
      </c>
      <c r="E8" s="2" t="s">
        <v>113</v>
      </c>
      <c r="F8" s="2" t="s">
        <v>114</v>
      </c>
    </row>
    <row r="9" spans="1:6" x14ac:dyDescent="0.2">
      <c r="A9" s="3" t="s">
        <v>0</v>
      </c>
      <c r="B9" s="3" t="s">
        <v>15</v>
      </c>
      <c r="C9" s="3" t="s">
        <v>92</v>
      </c>
      <c r="D9" s="3" t="s">
        <v>115</v>
      </c>
      <c r="E9" s="3" t="s">
        <v>116</v>
      </c>
      <c r="F9" s="3" t="s">
        <v>117</v>
      </c>
    </row>
    <row r="10" spans="1:6" x14ac:dyDescent="0.2">
      <c r="A10" s="2" t="s">
        <v>0</v>
      </c>
      <c r="B10" s="2" t="s">
        <v>15</v>
      </c>
      <c r="C10" s="2" t="s">
        <v>105</v>
      </c>
      <c r="D10" s="2" t="s">
        <v>118</v>
      </c>
      <c r="E10" s="2" t="s">
        <v>119</v>
      </c>
      <c r="F10" s="2" t="s">
        <v>120</v>
      </c>
    </row>
    <row r="11" spans="1:6" x14ac:dyDescent="0.2">
      <c r="A11" s="3" t="s">
        <v>0</v>
      </c>
      <c r="B11" s="3" t="s">
        <v>15</v>
      </c>
      <c r="C11" s="3" t="s">
        <v>95</v>
      </c>
      <c r="D11" s="3" t="s">
        <v>121</v>
      </c>
      <c r="E11" s="3" t="s">
        <v>122</v>
      </c>
      <c r="F11" s="3" t="s">
        <v>123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86A54"/>
  </sheetPr>
  <dimension ref="A1:N9"/>
  <sheetViews>
    <sheetView workbookViewId="0">
      <pane ySplit="1" topLeftCell="A2" activePane="bottomLeft" state="frozen"/>
      <selection pane="bottomLeft" activeCell="L8" sqref="L8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9" customWidth="1"/>
    <col min="4" max="4" width="50" customWidth="1"/>
    <col min="5" max="5" width="18" style="13" customWidth="1"/>
    <col min="6" max="6" width="10" customWidth="1"/>
    <col min="7" max="9" width="11" customWidth="1"/>
    <col min="10" max="10" width="10" customWidth="1"/>
    <col min="11" max="11" width="23" customWidth="1"/>
  </cols>
  <sheetData>
    <row r="1" spans="1:14" ht="42" x14ac:dyDescent="0.2">
      <c r="A1" s="4" t="s">
        <v>237</v>
      </c>
      <c r="B1" s="4" t="s">
        <v>257</v>
      </c>
      <c r="C1" s="4" t="s">
        <v>258</v>
      </c>
      <c r="D1" s="4" t="s">
        <v>259</v>
      </c>
      <c r="E1" s="11" t="s">
        <v>260</v>
      </c>
      <c r="F1" s="4" t="s">
        <v>261</v>
      </c>
      <c r="G1" s="4" t="s">
        <v>262</v>
      </c>
      <c r="H1" s="4" t="s">
        <v>267</v>
      </c>
      <c r="I1" s="4" t="s">
        <v>268</v>
      </c>
      <c r="J1" s="4" t="s">
        <v>263</v>
      </c>
      <c r="K1" s="4" t="s">
        <v>265</v>
      </c>
      <c r="L1" s="10" t="s">
        <v>264</v>
      </c>
      <c r="M1" s="10" t="s">
        <v>266</v>
      </c>
      <c r="N1" s="10" t="s">
        <v>301</v>
      </c>
    </row>
    <row r="2" spans="1:14" x14ac:dyDescent="0.2">
      <c r="A2" s="2" t="s">
        <v>0</v>
      </c>
      <c r="B2" s="2" t="s">
        <v>100</v>
      </c>
      <c r="C2" s="2" t="s">
        <v>124</v>
      </c>
      <c r="D2" s="2" t="s">
        <v>125</v>
      </c>
      <c r="E2" s="12">
        <v>8.4</v>
      </c>
      <c r="F2" s="2">
        <v>1240000</v>
      </c>
      <c r="G2" s="2">
        <v>18400</v>
      </c>
      <c r="H2" s="2">
        <v>10</v>
      </c>
      <c r="I2" s="2">
        <v>10</v>
      </c>
      <c r="J2" s="2">
        <v>42000</v>
      </c>
      <c r="K2" s="2" t="s">
        <v>126</v>
      </c>
      <c r="L2" t="s">
        <v>306</v>
      </c>
      <c r="M2" t="s">
        <v>307</v>
      </c>
      <c r="N2">
        <v>20.100000000000001</v>
      </c>
    </row>
    <row r="3" spans="1:14" x14ac:dyDescent="0.2">
      <c r="A3" s="3" t="s">
        <v>0</v>
      </c>
      <c r="B3" s="3" t="s">
        <v>113</v>
      </c>
      <c r="C3" s="3" t="s">
        <v>124</v>
      </c>
      <c r="D3" s="3" t="s">
        <v>127</v>
      </c>
      <c r="E3" s="12">
        <v>12.1</v>
      </c>
      <c r="F3" s="3">
        <v>2800000</v>
      </c>
      <c r="G3" s="3">
        <v>34200</v>
      </c>
      <c r="H3" s="2">
        <v>10</v>
      </c>
      <c r="I3" s="2">
        <v>10</v>
      </c>
      <c r="J3" s="3">
        <v>156000</v>
      </c>
      <c r="K3" s="3" t="s">
        <v>128</v>
      </c>
      <c r="L3" t="s">
        <v>306</v>
      </c>
      <c r="M3" t="s">
        <v>308</v>
      </c>
      <c r="N3">
        <v>21.1</v>
      </c>
    </row>
    <row r="4" spans="1:14" x14ac:dyDescent="0.2">
      <c r="A4" s="2" t="s">
        <v>0</v>
      </c>
      <c r="B4" s="2" t="s">
        <v>100</v>
      </c>
      <c r="C4" s="2" t="s">
        <v>124</v>
      </c>
      <c r="D4" s="2" t="s">
        <v>129</v>
      </c>
      <c r="E4" s="12">
        <v>6.7</v>
      </c>
      <c r="F4" s="2">
        <v>890000</v>
      </c>
      <c r="G4" s="2">
        <v>12100</v>
      </c>
      <c r="H4" s="2">
        <v>10</v>
      </c>
      <c r="I4" s="2">
        <v>10</v>
      </c>
      <c r="J4" s="2">
        <v>28000</v>
      </c>
      <c r="K4" s="2" t="s">
        <v>130</v>
      </c>
      <c r="L4" t="s">
        <v>306</v>
      </c>
      <c r="M4" t="s">
        <v>309</v>
      </c>
      <c r="N4">
        <v>22.1</v>
      </c>
    </row>
    <row r="5" spans="1:14" x14ac:dyDescent="0.2">
      <c r="A5" s="3" t="s">
        <v>0</v>
      </c>
      <c r="B5" s="3" t="s">
        <v>113</v>
      </c>
      <c r="C5" s="3" t="s">
        <v>131</v>
      </c>
      <c r="D5" s="3" t="s">
        <v>132</v>
      </c>
      <c r="E5" s="12">
        <v>9.3000000000000007</v>
      </c>
      <c r="F5" s="3">
        <v>1650000</v>
      </c>
      <c r="G5" s="3">
        <v>22800</v>
      </c>
      <c r="H5" s="2">
        <v>10</v>
      </c>
      <c r="I5" s="2">
        <v>10</v>
      </c>
      <c r="J5" s="3">
        <v>89000</v>
      </c>
      <c r="K5" s="3" t="s">
        <v>133</v>
      </c>
      <c r="L5" t="s">
        <v>306</v>
      </c>
      <c r="M5" t="s">
        <v>310</v>
      </c>
      <c r="N5">
        <v>23.1</v>
      </c>
    </row>
    <row r="6" spans="1:14" x14ac:dyDescent="0.2">
      <c r="A6" s="2" t="s">
        <v>0</v>
      </c>
      <c r="B6" s="2" t="s">
        <v>100</v>
      </c>
      <c r="C6" s="2" t="s">
        <v>124</v>
      </c>
      <c r="D6" s="2" t="s">
        <v>134</v>
      </c>
      <c r="E6" s="12">
        <v>11.2</v>
      </c>
      <c r="F6" s="2">
        <v>2100000</v>
      </c>
      <c r="G6" s="2">
        <v>28600</v>
      </c>
      <c r="H6" s="2">
        <v>10</v>
      </c>
      <c r="I6" s="2">
        <v>10</v>
      </c>
      <c r="J6" s="2">
        <v>118000</v>
      </c>
      <c r="K6" s="2" t="s">
        <v>135</v>
      </c>
      <c r="L6" t="s">
        <v>306</v>
      </c>
      <c r="M6" t="s">
        <v>311</v>
      </c>
      <c r="N6">
        <v>24.1</v>
      </c>
    </row>
    <row r="7" spans="1:14" x14ac:dyDescent="0.2">
      <c r="A7" s="3" t="s">
        <v>0</v>
      </c>
      <c r="B7" s="3" t="s">
        <v>113</v>
      </c>
      <c r="C7" s="3" t="s">
        <v>124</v>
      </c>
      <c r="D7" s="3" t="s">
        <v>136</v>
      </c>
      <c r="E7" s="12">
        <v>7.8</v>
      </c>
      <c r="F7" s="3">
        <v>980000</v>
      </c>
      <c r="G7" s="3">
        <v>15600</v>
      </c>
      <c r="H7" s="2">
        <v>10</v>
      </c>
      <c r="I7" s="2">
        <v>10</v>
      </c>
      <c r="J7" s="3">
        <v>52000</v>
      </c>
      <c r="K7" s="3" t="s">
        <v>137</v>
      </c>
      <c r="L7" t="s">
        <v>306</v>
      </c>
      <c r="M7" t="s">
        <v>312</v>
      </c>
      <c r="N7">
        <v>25.1</v>
      </c>
    </row>
    <row r="8" spans="1:14" x14ac:dyDescent="0.2">
      <c r="A8" s="2" t="s">
        <v>0</v>
      </c>
      <c r="B8" s="2" t="s">
        <v>138</v>
      </c>
      <c r="C8" s="2" t="s">
        <v>124</v>
      </c>
      <c r="D8" s="2" t="s">
        <v>139</v>
      </c>
      <c r="E8" s="12">
        <v>4.2</v>
      </c>
      <c r="F8" s="2">
        <v>320000</v>
      </c>
      <c r="G8" s="2">
        <v>8900</v>
      </c>
      <c r="H8" s="2">
        <v>10</v>
      </c>
      <c r="I8" s="2">
        <v>10</v>
      </c>
      <c r="J8" s="2">
        <v>12000</v>
      </c>
      <c r="K8" s="2" t="s">
        <v>140</v>
      </c>
      <c r="L8" t="s">
        <v>306</v>
      </c>
      <c r="M8" t="s">
        <v>313</v>
      </c>
      <c r="N8">
        <v>26.1</v>
      </c>
    </row>
    <row r="9" spans="1:14" x14ac:dyDescent="0.2">
      <c r="A9" s="3" t="s">
        <v>0</v>
      </c>
      <c r="B9" s="3" t="s">
        <v>113</v>
      </c>
      <c r="C9" s="3" t="s">
        <v>141</v>
      </c>
      <c r="D9" s="3" t="s">
        <v>142</v>
      </c>
      <c r="E9" s="12">
        <v>14.6</v>
      </c>
      <c r="F9" s="3">
        <v>4200000</v>
      </c>
      <c r="G9" s="3">
        <v>52000</v>
      </c>
      <c r="H9" s="2">
        <v>10</v>
      </c>
      <c r="I9" s="2">
        <v>10</v>
      </c>
      <c r="J9" s="3">
        <v>210000</v>
      </c>
      <c r="K9" s="3" t="s">
        <v>143</v>
      </c>
      <c r="L9" t="s">
        <v>306</v>
      </c>
      <c r="M9" t="s">
        <v>314</v>
      </c>
      <c r="N9">
        <v>27.1</v>
      </c>
    </row>
  </sheetData>
  <phoneticPr fontId="5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86A54"/>
  </sheetPr>
  <dimension ref="A1:E211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16" customWidth="1"/>
    <col min="5" max="5" width="13" customWidth="1"/>
  </cols>
  <sheetData>
    <row r="1" spans="1:5" ht="28" x14ac:dyDescent="0.2">
      <c r="A1" s="4" t="s">
        <v>237</v>
      </c>
      <c r="B1" s="4" t="s">
        <v>238</v>
      </c>
      <c r="C1" s="4" t="s">
        <v>63</v>
      </c>
      <c r="D1" s="4" t="s">
        <v>269</v>
      </c>
      <c r="E1" s="4" t="s">
        <v>270</v>
      </c>
    </row>
    <row r="2" spans="1:5" x14ac:dyDescent="0.2">
      <c r="A2" s="5" t="s">
        <v>0</v>
      </c>
      <c r="B2" s="2" t="s">
        <v>15</v>
      </c>
      <c r="C2" s="2" t="s">
        <v>64</v>
      </c>
      <c r="D2" s="2" t="s">
        <v>144</v>
      </c>
      <c r="E2" s="2">
        <v>18.100000000000001</v>
      </c>
    </row>
    <row r="3" spans="1:5" x14ac:dyDescent="0.2">
      <c r="A3" s="6" t="s">
        <v>0</v>
      </c>
      <c r="B3" s="3" t="s">
        <v>15</v>
      </c>
      <c r="C3" s="3" t="s">
        <v>64</v>
      </c>
      <c r="D3" s="3" t="s">
        <v>145</v>
      </c>
      <c r="E3" s="3">
        <v>13.7</v>
      </c>
    </row>
    <row r="4" spans="1:5" x14ac:dyDescent="0.2">
      <c r="A4" s="5" t="s">
        <v>0</v>
      </c>
      <c r="B4" s="2" t="s">
        <v>15</v>
      </c>
      <c r="C4" s="2" t="s">
        <v>64</v>
      </c>
      <c r="D4" s="2" t="s">
        <v>146</v>
      </c>
      <c r="E4" s="2">
        <v>12.4</v>
      </c>
    </row>
    <row r="5" spans="1:5" x14ac:dyDescent="0.2">
      <c r="A5" s="6" t="s">
        <v>0</v>
      </c>
      <c r="B5" s="3" t="s">
        <v>15</v>
      </c>
      <c r="C5" s="3" t="s">
        <v>64</v>
      </c>
      <c r="D5" s="3" t="s">
        <v>147</v>
      </c>
      <c r="E5" s="3">
        <v>10.6</v>
      </c>
    </row>
    <row r="6" spans="1:5" x14ac:dyDescent="0.2">
      <c r="A6" s="5" t="s">
        <v>0</v>
      </c>
      <c r="B6" s="2" t="s">
        <v>15</v>
      </c>
      <c r="C6" s="2" t="s">
        <v>64</v>
      </c>
      <c r="D6" s="2" t="s">
        <v>148</v>
      </c>
      <c r="E6" s="2">
        <v>9</v>
      </c>
    </row>
    <row r="7" spans="1:5" x14ac:dyDescent="0.2">
      <c r="A7" s="6" t="s">
        <v>0</v>
      </c>
      <c r="B7" s="3" t="s">
        <v>15</v>
      </c>
      <c r="C7" s="3" t="s">
        <v>64</v>
      </c>
      <c r="D7" s="3" t="s">
        <v>149</v>
      </c>
      <c r="E7" s="3">
        <v>7.8</v>
      </c>
    </row>
    <row r="8" spans="1:5" x14ac:dyDescent="0.2">
      <c r="A8" s="5" t="s">
        <v>0</v>
      </c>
      <c r="B8" s="2" t="s">
        <v>15</v>
      </c>
      <c r="C8" s="2" t="s">
        <v>64</v>
      </c>
      <c r="D8" s="2" t="s">
        <v>150</v>
      </c>
      <c r="E8" s="2">
        <v>6.8</v>
      </c>
    </row>
    <row r="9" spans="1:5" x14ac:dyDescent="0.2">
      <c r="A9" s="6" t="s">
        <v>0</v>
      </c>
      <c r="B9" s="3" t="s">
        <v>15</v>
      </c>
      <c r="C9" s="3" t="s">
        <v>64</v>
      </c>
      <c r="D9" s="3" t="s">
        <v>151</v>
      </c>
      <c r="E9" s="3">
        <v>5.5</v>
      </c>
    </row>
    <row r="10" spans="1:5" x14ac:dyDescent="0.2">
      <c r="A10" s="5" t="s">
        <v>0</v>
      </c>
      <c r="B10" s="2" t="s">
        <v>15</v>
      </c>
      <c r="C10" s="2" t="s">
        <v>64</v>
      </c>
      <c r="D10" s="2" t="s">
        <v>152</v>
      </c>
      <c r="E10" s="2">
        <v>5.3</v>
      </c>
    </row>
    <row r="11" spans="1:5" x14ac:dyDescent="0.2">
      <c r="A11" s="6" t="s">
        <v>0</v>
      </c>
      <c r="B11" s="3" t="s">
        <v>15</v>
      </c>
      <c r="C11" s="3" t="s">
        <v>64</v>
      </c>
      <c r="D11" s="3" t="s">
        <v>153</v>
      </c>
      <c r="E11" s="3">
        <v>4.4000000000000004</v>
      </c>
    </row>
    <row r="12" spans="1:5" x14ac:dyDescent="0.2">
      <c r="A12" s="5" t="s">
        <v>0</v>
      </c>
      <c r="B12" s="2" t="s">
        <v>15</v>
      </c>
      <c r="C12" s="2" t="s">
        <v>65</v>
      </c>
      <c r="D12" s="2" t="s">
        <v>144</v>
      </c>
      <c r="E12" s="2">
        <v>18.2</v>
      </c>
    </row>
    <row r="13" spans="1:5" x14ac:dyDescent="0.2">
      <c r="A13" s="6" t="s">
        <v>0</v>
      </c>
      <c r="B13" s="3" t="s">
        <v>15</v>
      </c>
      <c r="C13" s="3" t="s">
        <v>65</v>
      </c>
      <c r="D13" s="3" t="s">
        <v>145</v>
      </c>
      <c r="E13" s="3">
        <v>13.7</v>
      </c>
    </row>
    <row r="14" spans="1:5" x14ac:dyDescent="0.2">
      <c r="A14" s="5" t="s">
        <v>0</v>
      </c>
      <c r="B14" s="2" t="s">
        <v>15</v>
      </c>
      <c r="C14" s="2" t="s">
        <v>65</v>
      </c>
      <c r="D14" s="2" t="s">
        <v>146</v>
      </c>
      <c r="E14" s="2">
        <v>11.9</v>
      </c>
    </row>
    <row r="15" spans="1:5" x14ac:dyDescent="0.2">
      <c r="A15" s="6" t="s">
        <v>0</v>
      </c>
      <c r="B15" s="3" t="s">
        <v>15</v>
      </c>
      <c r="C15" s="3" t="s">
        <v>65</v>
      </c>
      <c r="D15" s="3" t="s">
        <v>147</v>
      </c>
      <c r="E15" s="3">
        <v>10.8</v>
      </c>
    </row>
    <row r="16" spans="1:5" x14ac:dyDescent="0.2">
      <c r="A16" s="5" t="s">
        <v>0</v>
      </c>
      <c r="B16" s="2" t="s">
        <v>15</v>
      </c>
      <c r="C16" s="2" t="s">
        <v>65</v>
      </c>
      <c r="D16" s="2" t="s">
        <v>148</v>
      </c>
      <c r="E16" s="2">
        <v>9.1</v>
      </c>
    </row>
    <row r="17" spans="1:5" x14ac:dyDescent="0.2">
      <c r="A17" s="6" t="s">
        <v>0</v>
      </c>
      <c r="B17" s="3" t="s">
        <v>15</v>
      </c>
      <c r="C17" s="3" t="s">
        <v>65</v>
      </c>
      <c r="D17" s="3" t="s">
        <v>149</v>
      </c>
      <c r="E17" s="3">
        <v>8.1</v>
      </c>
    </row>
    <row r="18" spans="1:5" x14ac:dyDescent="0.2">
      <c r="A18" s="5" t="s">
        <v>0</v>
      </c>
      <c r="B18" s="2" t="s">
        <v>15</v>
      </c>
      <c r="C18" s="2" t="s">
        <v>65</v>
      </c>
      <c r="D18" s="2" t="s">
        <v>150</v>
      </c>
      <c r="E18" s="2">
        <v>6.9</v>
      </c>
    </row>
    <row r="19" spans="1:5" x14ac:dyDescent="0.2">
      <c r="A19" s="6" t="s">
        <v>0</v>
      </c>
      <c r="B19" s="3" t="s">
        <v>15</v>
      </c>
      <c r="C19" s="3" t="s">
        <v>65</v>
      </c>
      <c r="D19" s="3" t="s">
        <v>151</v>
      </c>
      <c r="E19" s="3">
        <v>5.8</v>
      </c>
    </row>
    <row r="20" spans="1:5" x14ac:dyDescent="0.2">
      <c r="A20" s="5" t="s">
        <v>0</v>
      </c>
      <c r="B20" s="2" t="s">
        <v>15</v>
      </c>
      <c r="C20" s="2" t="s">
        <v>65</v>
      </c>
      <c r="D20" s="2" t="s">
        <v>152</v>
      </c>
      <c r="E20" s="2">
        <v>5.3</v>
      </c>
    </row>
    <row r="21" spans="1:5" x14ac:dyDescent="0.2">
      <c r="A21" s="6" t="s">
        <v>0</v>
      </c>
      <c r="B21" s="3" t="s">
        <v>15</v>
      </c>
      <c r="C21" s="3" t="s">
        <v>65</v>
      </c>
      <c r="D21" s="3" t="s">
        <v>153</v>
      </c>
      <c r="E21" s="3">
        <v>3.7</v>
      </c>
    </row>
    <row r="22" spans="1:5" x14ac:dyDescent="0.2">
      <c r="A22" s="5" t="s">
        <v>0</v>
      </c>
      <c r="B22" s="2" t="s">
        <v>15</v>
      </c>
      <c r="C22" s="2" t="s">
        <v>66</v>
      </c>
      <c r="D22" s="2" t="s">
        <v>144</v>
      </c>
      <c r="E22" s="2">
        <v>17.899999999999999</v>
      </c>
    </row>
    <row r="23" spans="1:5" x14ac:dyDescent="0.2">
      <c r="A23" s="6" t="s">
        <v>0</v>
      </c>
      <c r="B23" s="3" t="s">
        <v>15</v>
      </c>
      <c r="C23" s="3" t="s">
        <v>66</v>
      </c>
      <c r="D23" s="3" t="s">
        <v>145</v>
      </c>
      <c r="E23" s="3">
        <v>14</v>
      </c>
    </row>
    <row r="24" spans="1:5" x14ac:dyDescent="0.2">
      <c r="A24" s="5" t="s">
        <v>0</v>
      </c>
      <c r="B24" s="2" t="s">
        <v>15</v>
      </c>
      <c r="C24" s="2" t="s">
        <v>66</v>
      </c>
      <c r="D24" s="2" t="s">
        <v>146</v>
      </c>
      <c r="E24" s="2">
        <v>11.7</v>
      </c>
    </row>
    <row r="25" spans="1:5" x14ac:dyDescent="0.2">
      <c r="A25" s="6" t="s">
        <v>0</v>
      </c>
      <c r="B25" s="3" t="s">
        <v>15</v>
      </c>
      <c r="C25" s="3" t="s">
        <v>66</v>
      </c>
      <c r="D25" s="3" t="s">
        <v>147</v>
      </c>
      <c r="E25" s="3">
        <v>11.1</v>
      </c>
    </row>
    <row r="26" spans="1:5" x14ac:dyDescent="0.2">
      <c r="A26" s="5" t="s">
        <v>0</v>
      </c>
      <c r="B26" s="2" t="s">
        <v>15</v>
      </c>
      <c r="C26" s="2" t="s">
        <v>66</v>
      </c>
      <c r="D26" s="2" t="s">
        <v>148</v>
      </c>
      <c r="E26" s="2">
        <v>9.1</v>
      </c>
    </row>
    <row r="27" spans="1:5" x14ac:dyDescent="0.2">
      <c r="A27" s="6" t="s">
        <v>0</v>
      </c>
      <c r="B27" s="3" t="s">
        <v>15</v>
      </c>
      <c r="C27" s="3" t="s">
        <v>66</v>
      </c>
      <c r="D27" s="3" t="s">
        <v>149</v>
      </c>
      <c r="E27" s="3">
        <v>8.5</v>
      </c>
    </row>
    <row r="28" spans="1:5" x14ac:dyDescent="0.2">
      <c r="A28" s="5" t="s">
        <v>0</v>
      </c>
      <c r="B28" s="2" t="s">
        <v>15</v>
      </c>
      <c r="C28" s="2" t="s">
        <v>66</v>
      </c>
      <c r="D28" s="2" t="s">
        <v>150</v>
      </c>
      <c r="E28" s="2">
        <v>6.8</v>
      </c>
    </row>
    <row r="29" spans="1:5" x14ac:dyDescent="0.2">
      <c r="A29" s="6" t="s">
        <v>0</v>
      </c>
      <c r="B29" s="3" t="s">
        <v>15</v>
      </c>
      <c r="C29" s="3" t="s">
        <v>66</v>
      </c>
      <c r="D29" s="3" t="s">
        <v>151</v>
      </c>
      <c r="E29" s="3">
        <v>6.5</v>
      </c>
    </row>
    <row r="30" spans="1:5" x14ac:dyDescent="0.2">
      <c r="A30" s="5" t="s">
        <v>0</v>
      </c>
      <c r="B30" s="2" t="s">
        <v>15</v>
      </c>
      <c r="C30" s="2" t="s">
        <v>66</v>
      </c>
      <c r="D30" s="2" t="s">
        <v>152</v>
      </c>
      <c r="E30" s="2">
        <v>5.2</v>
      </c>
    </row>
    <row r="31" spans="1:5" x14ac:dyDescent="0.2">
      <c r="A31" s="6" t="s">
        <v>0</v>
      </c>
      <c r="B31" s="3" t="s">
        <v>15</v>
      </c>
      <c r="C31" s="3" t="s">
        <v>66</v>
      </c>
      <c r="D31" s="3" t="s">
        <v>153</v>
      </c>
      <c r="E31" s="3">
        <v>3.8</v>
      </c>
    </row>
    <row r="32" spans="1:5" x14ac:dyDescent="0.2">
      <c r="A32" s="5" t="s">
        <v>0</v>
      </c>
      <c r="B32" s="2" t="s">
        <v>15</v>
      </c>
      <c r="C32" s="2" t="s">
        <v>67</v>
      </c>
      <c r="D32" s="2" t="s">
        <v>144</v>
      </c>
      <c r="E32" s="2">
        <v>18.100000000000001</v>
      </c>
    </row>
    <row r="33" spans="1:5" x14ac:dyDescent="0.2">
      <c r="A33" s="6" t="s">
        <v>0</v>
      </c>
      <c r="B33" s="3" t="s">
        <v>15</v>
      </c>
      <c r="C33" s="3" t="s">
        <v>67</v>
      </c>
      <c r="D33" s="3" t="s">
        <v>145</v>
      </c>
      <c r="E33" s="3">
        <v>14.2</v>
      </c>
    </row>
    <row r="34" spans="1:5" x14ac:dyDescent="0.2">
      <c r="A34" s="5" t="s">
        <v>0</v>
      </c>
      <c r="B34" s="2" t="s">
        <v>15</v>
      </c>
      <c r="C34" s="2" t="s">
        <v>67</v>
      </c>
      <c r="D34" s="2" t="s">
        <v>146</v>
      </c>
      <c r="E34" s="2">
        <v>12.2</v>
      </c>
    </row>
    <row r="35" spans="1:5" x14ac:dyDescent="0.2">
      <c r="A35" s="6" t="s">
        <v>0</v>
      </c>
      <c r="B35" s="3" t="s">
        <v>15</v>
      </c>
      <c r="C35" s="3" t="s">
        <v>67</v>
      </c>
      <c r="D35" s="3" t="s">
        <v>147</v>
      </c>
      <c r="E35" s="3">
        <v>10.5</v>
      </c>
    </row>
    <row r="36" spans="1:5" x14ac:dyDescent="0.2">
      <c r="A36" s="5" t="s">
        <v>0</v>
      </c>
      <c r="B36" s="2" t="s">
        <v>15</v>
      </c>
      <c r="C36" s="2" t="s">
        <v>67</v>
      </c>
      <c r="D36" s="2" t="s">
        <v>148</v>
      </c>
      <c r="E36" s="2">
        <v>9.1</v>
      </c>
    </row>
    <row r="37" spans="1:5" x14ac:dyDescent="0.2">
      <c r="A37" s="6" t="s">
        <v>0</v>
      </c>
      <c r="B37" s="3" t="s">
        <v>15</v>
      </c>
      <c r="C37" s="3" t="s">
        <v>67</v>
      </c>
      <c r="D37" s="3" t="s">
        <v>149</v>
      </c>
      <c r="E37" s="3">
        <v>8</v>
      </c>
    </row>
    <row r="38" spans="1:5" x14ac:dyDescent="0.2">
      <c r="A38" s="5" t="s">
        <v>0</v>
      </c>
      <c r="B38" s="2" t="s">
        <v>15</v>
      </c>
      <c r="C38" s="2" t="s">
        <v>67</v>
      </c>
      <c r="D38" s="2" t="s">
        <v>150</v>
      </c>
      <c r="E38" s="2">
        <v>7.4</v>
      </c>
    </row>
    <row r="39" spans="1:5" x14ac:dyDescent="0.2">
      <c r="A39" s="6" t="s">
        <v>0</v>
      </c>
      <c r="B39" s="3" t="s">
        <v>15</v>
      </c>
      <c r="C39" s="3" t="s">
        <v>67</v>
      </c>
      <c r="D39" s="3" t="s">
        <v>151</v>
      </c>
      <c r="E39" s="3">
        <v>5.8</v>
      </c>
    </row>
    <row r="40" spans="1:5" x14ac:dyDescent="0.2">
      <c r="A40" s="5" t="s">
        <v>0</v>
      </c>
      <c r="B40" s="2" t="s">
        <v>15</v>
      </c>
      <c r="C40" s="2" t="s">
        <v>67</v>
      </c>
      <c r="D40" s="2" t="s">
        <v>152</v>
      </c>
      <c r="E40" s="2">
        <v>5.3</v>
      </c>
    </row>
    <row r="41" spans="1:5" x14ac:dyDescent="0.2">
      <c r="A41" s="6" t="s">
        <v>0</v>
      </c>
      <c r="B41" s="3" t="s">
        <v>15</v>
      </c>
      <c r="C41" s="3" t="s">
        <v>67</v>
      </c>
      <c r="D41" s="3" t="s">
        <v>153</v>
      </c>
      <c r="E41" s="3">
        <v>4.0999999999999996</v>
      </c>
    </row>
    <row r="42" spans="1:5" x14ac:dyDescent="0.2">
      <c r="A42" s="5" t="s">
        <v>0</v>
      </c>
      <c r="B42" s="2" t="s">
        <v>15</v>
      </c>
      <c r="C42" s="2" t="s">
        <v>68</v>
      </c>
      <c r="D42" s="2" t="s">
        <v>144</v>
      </c>
      <c r="E42" s="2">
        <v>17.899999999999999</v>
      </c>
    </row>
    <row r="43" spans="1:5" x14ac:dyDescent="0.2">
      <c r="A43" s="6" t="s">
        <v>0</v>
      </c>
      <c r="B43" s="3" t="s">
        <v>15</v>
      </c>
      <c r="C43" s="3" t="s">
        <v>68</v>
      </c>
      <c r="D43" s="3" t="s">
        <v>145</v>
      </c>
      <c r="E43" s="3">
        <v>14.1</v>
      </c>
    </row>
    <row r="44" spans="1:5" x14ac:dyDescent="0.2">
      <c r="A44" s="5" t="s">
        <v>0</v>
      </c>
      <c r="B44" s="2" t="s">
        <v>15</v>
      </c>
      <c r="C44" s="2" t="s">
        <v>68</v>
      </c>
      <c r="D44" s="2" t="s">
        <v>146</v>
      </c>
      <c r="E44" s="2">
        <v>12.1</v>
      </c>
    </row>
    <row r="45" spans="1:5" x14ac:dyDescent="0.2">
      <c r="A45" s="6" t="s">
        <v>0</v>
      </c>
      <c r="B45" s="3" t="s">
        <v>15</v>
      </c>
      <c r="C45" s="3" t="s">
        <v>68</v>
      </c>
      <c r="D45" s="3" t="s">
        <v>147</v>
      </c>
      <c r="E45" s="3">
        <v>11.2</v>
      </c>
    </row>
    <row r="46" spans="1:5" x14ac:dyDescent="0.2">
      <c r="A46" s="5" t="s">
        <v>0</v>
      </c>
      <c r="B46" s="2" t="s">
        <v>15</v>
      </c>
      <c r="C46" s="2" t="s">
        <v>68</v>
      </c>
      <c r="D46" s="2" t="s">
        <v>148</v>
      </c>
      <c r="E46" s="2">
        <v>9.1999999999999993</v>
      </c>
    </row>
    <row r="47" spans="1:5" x14ac:dyDescent="0.2">
      <c r="A47" s="6" t="s">
        <v>0</v>
      </c>
      <c r="B47" s="3" t="s">
        <v>15</v>
      </c>
      <c r="C47" s="3" t="s">
        <v>68</v>
      </c>
      <c r="D47" s="3" t="s">
        <v>149</v>
      </c>
      <c r="E47" s="3">
        <v>8.1999999999999993</v>
      </c>
    </row>
    <row r="48" spans="1:5" x14ac:dyDescent="0.2">
      <c r="A48" s="5" t="s">
        <v>0</v>
      </c>
      <c r="B48" s="2" t="s">
        <v>15</v>
      </c>
      <c r="C48" s="2" t="s">
        <v>68</v>
      </c>
      <c r="D48" s="2" t="s">
        <v>150</v>
      </c>
      <c r="E48" s="2">
        <v>7.3</v>
      </c>
    </row>
    <row r="49" spans="1:5" x14ac:dyDescent="0.2">
      <c r="A49" s="6" t="s">
        <v>0</v>
      </c>
      <c r="B49" s="3" t="s">
        <v>15</v>
      </c>
      <c r="C49" s="3" t="s">
        <v>68</v>
      </c>
      <c r="D49" s="3" t="s">
        <v>151</v>
      </c>
      <c r="E49" s="3">
        <v>6.1</v>
      </c>
    </row>
    <row r="50" spans="1:5" x14ac:dyDescent="0.2">
      <c r="A50" s="5" t="s">
        <v>0</v>
      </c>
      <c r="B50" s="2" t="s">
        <v>15</v>
      </c>
      <c r="C50" s="2" t="s">
        <v>68</v>
      </c>
      <c r="D50" s="2" t="s">
        <v>152</v>
      </c>
      <c r="E50" s="2">
        <v>5.4</v>
      </c>
    </row>
    <row r="51" spans="1:5" x14ac:dyDescent="0.2">
      <c r="A51" s="6" t="s">
        <v>0</v>
      </c>
      <c r="B51" s="3" t="s">
        <v>15</v>
      </c>
      <c r="C51" s="3" t="s">
        <v>68</v>
      </c>
      <c r="D51" s="3" t="s">
        <v>153</v>
      </c>
      <c r="E51" s="3">
        <v>4.0999999999999996</v>
      </c>
    </row>
    <row r="52" spans="1:5" x14ac:dyDescent="0.2">
      <c r="A52" s="5" t="s">
        <v>0</v>
      </c>
      <c r="B52" s="2" t="s">
        <v>15</v>
      </c>
      <c r="C52" s="2" t="s">
        <v>69</v>
      </c>
      <c r="D52" s="2" t="s">
        <v>144</v>
      </c>
      <c r="E52" s="2">
        <v>17.8</v>
      </c>
    </row>
    <row r="53" spans="1:5" x14ac:dyDescent="0.2">
      <c r="A53" s="6" t="s">
        <v>0</v>
      </c>
      <c r="B53" s="3" t="s">
        <v>15</v>
      </c>
      <c r="C53" s="3" t="s">
        <v>69</v>
      </c>
      <c r="D53" s="3" t="s">
        <v>145</v>
      </c>
      <c r="E53" s="3">
        <v>13.9</v>
      </c>
    </row>
    <row r="54" spans="1:5" x14ac:dyDescent="0.2">
      <c r="A54" s="5" t="s">
        <v>0</v>
      </c>
      <c r="B54" s="2" t="s">
        <v>15</v>
      </c>
      <c r="C54" s="2" t="s">
        <v>69</v>
      </c>
      <c r="D54" s="2" t="s">
        <v>146</v>
      </c>
      <c r="E54" s="2">
        <v>12.1</v>
      </c>
    </row>
    <row r="55" spans="1:5" x14ac:dyDescent="0.2">
      <c r="A55" s="6" t="s">
        <v>0</v>
      </c>
      <c r="B55" s="3" t="s">
        <v>15</v>
      </c>
      <c r="C55" s="3" t="s">
        <v>69</v>
      </c>
      <c r="D55" s="3" t="s">
        <v>147</v>
      </c>
      <c r="E55" s="3">
        <v>11.2</v>
      </c>
    </row>
    <row r="56" spans="1:5" x14ac:dyDescent="0.2">
      <c r="A56" s="5" t="s">
        <v>0</v>
      </c>
      <c r="B56" s="2" t="s">
        <v>15</v>
      </c>
      <c r="C56" s="2" t="s">
        <v>69</v>
      </c>
      <c r="D56" s="2" t="s">
        <v>148</v>
      </c>
      <c r="E56" s="2">
        <v>8.6</v>
      </c>
    </row>
    <row r="57" spans="1:5" x14ac:dyDescent="0.2">
      <c r="A57" s="6" t="s">
        <v>0</v>
      </c>
      <c r="B57" s="3" t="s">
        <v>15</v>
      </c>
      <c r="C57" s="3" t="s">
        <v>69</v>
      </c>
      <c r="D57" s="3" t="s">
        <v>149</v>
      </c>
      <c r="E57" s="3">
        <v>7.8</v>
      </c>
    </row>
    <row r="58" spans="1:5" x14ac:dyDescent="0.2">
      <c r="A58" s="5" t="s">
        <v>0</v>
      </c>
      <c r="B58" s="2" t="s">
        <v>15</v>
      </c>
      <c r="C58" s="2" t="s">
        <v>69</v>
      </c>
      <c r="D58" s="2" t="s">
        <v>150</v>
      </c>
      <c r="E58" s="2">
        <v>7.2</v>
      </c>
    </row>
    <row r="59" spans="1:5" x14ac:dyDescent="0.2">
      <c r="A59" s="6" t="s">
        <v>0</v>
      </c>
      <c r="B59" s="3" t="s">
        <v>15</v>
      </c>
      <c r="C59" s="3" t="s">
        <v>69</v>
      </c>
      <c r="D59" s="3" t="s">
        <v>151</v>
      </c>
      <c r="E59" s="3">
        <v>5.7</v>
      </c>
    </row>
    <row r="60" spans="1:5" x14ac:dyDescent="0.2">
      <c r="A60" s="5" t="s">
        <v>0</v>
      </c>
      <c r="B60" s="2" t="s">
        <v>15</v>
      </c>
      <c r="C60" s="2" t="s">
        <v>69</v>
      </c>
      <c r="D60" s="2" t="s">
        <v>152</v>
      </c>
      <c r="E60" s="2">
        <v>4.5999999999999996</v>
      </c>
    </row>
    <row r="61" spans="1:5" x14ac:dyDescent="0.2">
      <c r="A61" s="6" t="s">
        <v>0</v>
      </c>
      <c r="B61" s="3" t="s">
        <v>15</v>
      </c>
      <c r="C61" s="3" t="s">
        <v>69</v>
      </c>
      <c r="D61" s="3" t="s">
        <v>153</v>
      </c>
      <c r="E61" s="3">
        <v>4</v>
      </c>
    </row>
    <row r="62" spans="1:5" x14ac:dyDescent="0.2">
      <c r="A62" s="5" t="s">
        <v>0</v>
      </c>
      <c r="B62" s="2" t="s">
        <v>15</v>
      </c>
      <c r="C62" s="2" t="s">
        <v>70</v>
      </c>
      <c r="D62" s="2" t="s">
        <v>144</v>
      </c>
      <c r="E62" s="2">
        <v>18.5</v>
      </c>
    </row>
    <row r="63" spans="1:5" x14ac:dyDescent="0.2">
      <c r="A63" s="6" t="s">
        <v>0</v>
      </c>
      <c r="B63" s="3" t="s">
        <v>15</v>
      </c>
      <c r="C63" s="3" t="s">
        <v>70</v>
      </c>
      <c r="D63" s="3" t="s">
        <v>145</v>
      </c>
      <c r="E63" s="3">
        <v>14</v>
      </c>
    </row>
    <row r="64" spans="1:5" x14ac:dyDescent="0.2">
      <c r="A64" s="5" t="s">
        <v>0</v>
      </c>
      <c r="B64" s="2" t="s">
        <v>15</v>
      </c>
      <c r="C64" s="2" t="s">
        <v>70</v>
      </c>
      <c r="D64" s="2" t="s">
        <v>146</v>
      </c>
      <c r="E64" s="2">
        <v>12.4</v>
      </c>
    </row>
    <row r="65" spans="1:5" x14ac:dyDescent="0.2">
      <c r="A65" s="6" t="s">
        <v>0</v>
      </c>
      <c r="B65" s="3" t="s">
        <v>15</v>
      </c>
      <c r="C65" s="3" t="s">
        <v>70</v>
      </c>
      <c r="D65" s="3" t="s">
        <v>147</v>
      </c>
      <c r="E65" s="3">
        <v>11.3</v>
      </c>
    </row>
    <row r="66" spans="1:5" x14ac:dyDescent="0.2">
      <c r="A66" s="5" t="s">
        <v>0</v>
      </c>
      <c r="B66" s="2" t="s">
        <v>15</v>
      </c>
      <c r="C66" s="2" t="s">
        <v>70</v>
      </c>
      <c r="D66" s="2" t="s">
        <v>148</v>
      </c>
      <c r="E66" s="2">
        <v>8.8000000000000007</v>
      </c>
    </row>
    <row r="67" spans="1:5" x14ac:dyDescent="0.2">
      <c r="A67" s="6" t="s">
        <v>0</v>
      </c>
      <c r="B67" s="3" t="s">
        <v>15</v>
      </c>
      <c r="C67" s="3" t="s">
        <v>70</v>
      </c>
      <c r="D67" s="3" t="s">
        <v>149</v>
      </c>
      <c r="E67" s="3">
        <v>8.3000000000000007</v>
      </c>
    </row>
    <row r="68" spans="1:5" x14ac:dyDescent="0.2">
      <c r="A68" s="5" t="s">
        <v>0</v>
      </c>
      <c r="B68" s="2" t="s">
        <v>15</v>
      </c>
      <c r="C68" s="2" t="s">
        <v>70</v>
      </c>
      <c r="D68" s="2" t="s">
        <v>150</v>
      </c>
      <c r="E68" s="2">
        <v>7</v>
      </c>
    </row>
    <row r="69" spans="1:5" x14ac:dyDescent="0.2">
      <c r="A69" s="6" t="s">
        <v>0</v>
      </c>
      <c r="B69" s="3" t="s">
        <v>15</v>
      </c>
      <c r="C69" s="3" t="s">
        <v>70</v>
      </c>
      <c r="D69" s="3" t="s">
        <v>151</v>
      </c>
      <c r="E69" s="3">
        <v>6.3</v>
      </c>
    </row>
    <row r="70" spans="1:5" x14ac:dyDescent="0.2">
      <c r="A70" s="5" t="s">
        <v>0</v>
      </c>
      <c r="B70" s="2" t="s">
        <v>15</v>
      </c>
      <c r="C70" s="2" t="s">
        <v>70</v>
      </c>
      <c r="D70" s="2" t="s">
        <v>152</v>
      </c>
      <c r="E70" s="2">
        <v>5.2</v>
      </c>
    </row>
    <row r="71" spans="1:5" x14ac:dyDescent="0.2">
      <c r="A71" s="6" t="s">
        <v>0</v>
      </c>
      <c r="B71" s="3" t="s">
        <v>15</v>
      </c>
      <c r="C71" s="3" t="s">
        <v>70</v>
      </c>
      <c r="D71" s="3" t="s">
        <v>153</v>
      </c>
      <c r="E71" s="3">
        <v>3.8</v>
      </c>
    </row>
    <row r="72" spans="1:5" x14ac:dyDescent="0.2">
      <c r="A72" s="2" t="s">
        <v>1</v>
      </c>
      <c r="B72" s="2" t="s">
        <v>15</v>
      </c>
      <c r="C72" s="2" t="s">
        <v>64</v>
      </c>
      <c r="D72" s="2" t="s">
        <v>144</v>
      </c>
      <c r="E72" s="2">
        <v>19.600000000000001</v>
      </c>
    </row>
    <row r="73" spans="1:5" x14ac:dyDescent="0.2">
      <c r="A73" s="3" t="s">
        <v>1</v>
      </c>
      <c r="B73" s="3" t="s">
        <v>15</v>
      </c>
      <c r="C73" s="3" t="s">
        <v>64</v>
      </c>
      <c r="D73" s="3" t="s">
        <v>148</v>
      </c>
      <c r="E73" s="3">
        <v>16.5</v>
      </c>
    </row>
    <row r="74" spans="1:5" x14ac:dyDescent="0.2">
      <c r="A74" s="2" t="s">
        <v>1</v>
      </c>
      <c r="B74" s="2" t="s">
        <v>15</v>
      </c>
      <c r="C74" s="2" t="s">
        <v>64</v>
      </c>
      <c r="D74" s="2" t="s">
        <v>149</v>
      </c>
      <c r="E74" s="2">
        <v>11.6</v>
      </c>
    </row>
    <row r="75" spans="1:5" x14ac:dyDescent="0.2">
      <c r="A75" s="3" t="s">
        <v>1</v>
      </c>
      <c r="B75" s="3" t="s">
        <v>15</v>
      </c>
      <c r="C75" s="3" t="s">
        <v>64</v>
      </c>
      <c r="D75" s="3" t="s">
        <v>147</v>
      </c>
      <c r="E75" s="3">
        <v>10.5</v>
      </c>
    </row>
    <row r="76" spans="1:5" x14ac:dyDescent="0.2">
      <c r="A76" s="2" t="s">
        <v>1</v>
      </c>
      <c r="B76" s="2" t="s">
        <v>15</v>
      </c>
      <c r="C76" s="2" t="s">
        <v>64</v>
      </c>
      <c r="D76" s="2" t="s">
        <v>146</v>
      </c>
      <c r="E76" s="2">
        <v>9.4</v>
      </c>
    </row>
    <row r="77" spans="1:5" x14ac:dyDescent="0.2">
      <c r="A77" s="3" t="s">
        <v>1</v>
      </c>
      <c r="B77" s="3" t="s">
        <v>15</v>
      </c>
      <c r="C77" s="3" t="s">
        <v>65</v>
      </c>
      <c r="D77" s="3" t="s">
        <v>144</v>
      </c>
      <c r="E77" s="3">
        <v>20.2</v>
      </c>
    </row>
    <row r="78" spans="1:5" x14ac:dyDescent="0.2">
      <c r="A78" s="2" t="s">
        <v>1</v>
      </c>
      <c r="B78" s="2" t="s">
        <v>15</v>
      </c>
      <c r="C78" s="2" t="s">
        <v>65</v>
      </c>
      <c r="D78" s="2" t="s">
        <v>148</v>
      </c>
      <c r="E78" s="2">
        <v>16.5</v>
      </c>
    </row>
    <row r="79" spans="1:5" x14ac:dyDescent="0.2">
      <c r="A79" s="3" t="s">
        <v>1</v>
      </c>
      <c r="B79" s="3" t="s">
        <v>15</v>
      </c>
      <c r="C79" s="3" t="s">
        <v>65</v>
      </c>
      <c r="D79" s="3" t="s">
        <v>149</v>
      </c>
      <c r="E79" s="3">
        <v>12.5</v>
      </c>
    </row>
    <row r="80" spans="1:5" x14ac:dyDescent="0.2">
      <c r="A80" s="2" t="s">
        <v>1</v>
      </c>
      <c r="B80" s="2" t="s">
        <v>15</v>
      </c>
      <c r="C80" s="2" t="s">
        <v>65</v>
      </c>
      <c r="D80" s="2" t="s">
        <v>147</v>
      </c>
      <c r="E80" s="2">
        <v>10.3</v>
      </c>
    </row>
    <row r="81" spans="1:5" x14ac:dyDescent="0.2">
      <c r="A81" s="3" t="s">
        <v>1</v>
      </c>
      <c r="B81" s="3" t="s">
        <v>15</v>
      </c>
      <c r="C81" s="3" t="s">
        <v>65</v>
      </c>
      <c r="D81" s="3" t="s">
        <v>146</v>
      </c>
      <c r="E81" s="3">
        <v>8.9</v>
      </c>
    </row>
    <row r="82" spans="1:5" x14ac:dyDescent="0.2">
      <c r="A82" s="2" t="s">
        <v>1</v>
      </c>
      <c r="B82" s="2" t="s">
        <v>15</v>
      </c>
      <c r="C82" s="2" t="s">
        <v>66</v>
      </c>
      <c r="D82" s="2" t="s">
        <v>144</v>
      </c>
      <c r="E82" s="2">
        <v>20.3</v>
      </c>
    </row>
    <row r="83" spans="1:5" x14ac:dyDescent="0.2">
      <c r="A83" s="3" t="s">
        <v>1</v>
      </c>
      <c r="B83" s="3" t="s">
        <v>15</v>
      </c>
      <c r="C83" s="3" t="s">
        <v>66</v>
      </c>
      <c r="D83" s="3" t="s">
        <v>148</v>
      </c>
      <c r="E83" s="3">
        <v>15.5</v>
      </c>
    </row>
    <row r="84" spans="1:5" x14ac:dyDescent="0.2">
      <c r="A84" s="2" t="s">
        <v>1</v>
      </c>
      <c r="B84" s="2" t="s">
        <v>15</v>
      </c>
      <c r="C84" s="2" t="s">
        <v>66</v>
      </c>
      <c r="D84" s="2" t="s">
        <v>149</v>
      </c>
      <c r="E84" s="2">
        <v>12</v>
      </c>
    </row>
    <row r="85" spans="1:5" x14ac:dyDescent="0.2">
      <c r="A85" s="3" t="s">
        <v>1</v>
      </c>
      <c r="B85" s="3" t="s">
        <v>15</v>
      </c>
      <c r="C85" s="3" t="s">
        <v>66</v>
      </c>
      <c r="D85" s="3" t="s">
        <v>147</v>
      </c>
      <c r="E85" s="3">
        <v>10</v>
      </c>
    </row>
    <row r="86" spans="1:5" x14ac:dyDescent="0.2">
      <c r="A86" s="2" t="s">
        <v>1</v>
      </c>
      <c r="B86" s="2" t="s">
        <v>15</v>
      </c>
      <c r="C86" s="2" t="s">
        <v>66</v>
      </c>
      <c r="D86" s="2" t="s">
        <v>146</v>
      </c>
      <c r="E86" s="2">
        <v>9.1999999999999993</v>
      </c>
    </row>
    <row r="87" spans="1:5" x14ac:dyDescent="0.2">
      <c r="A87" s="3" t="s">
        <v>1</v>
      </c>
      <c r="B87" s="3" t="s">
        <v>15</v>
      </c>
      <c r="C87" s="3" t="s">
        <v>67</v>
      </c>
      <c r="D87" s="3" t="s">
        <v>144</v>
      </c>
      <c r="E87" s="3">
        <v>20.2</v>
      </c>
    </row>
    <row r="88" spans="1:5" x14ac:dyDescent="0.2">
      <c r="A88" s="2" t="s">
        <v>1</v>
      </c>
      <c r="B88" s="2" t="s">
        <v>15</v>
      </c>
      <c r="C88" s="2" t="s">
        <v>67</v>
      </c>
      <c r="D88" s="2" t="s">
        <v>148</v>
      </c>
      <c r="E88" s="2">
        <v>16.100000000000001</v>
      </c>
    </row>
    <row r="89" spans="1:5" x14ac:dyDescent="0.2">
      <c r="A89" s="3" t="s">
        <v>1</v>
      </c>
      <c r="B89" s="3" t="s">
        <v>15</v>
      </c>
      <c r="C89" s="3" t="s">
        <v>67</v>
      </c>
      <c r="D89" s="3" t="s">
        <v>149</v>
      </c>
      <c r="E89" s="3">
        <v>12.3</v>
      </c>
    </row>
    <row r="90" spans="1:5" x14ac:dyDescent="0.2">
      <c r="A90" s="2" t="s">
        <v>1</v>
      </c>
      <c r="B90" s="2" t="s">
        <v>15</v>
      </c>
      <c r="C90" s="2" t="s">
        <v>67</v>
      </c>
      <c r="D90" s="2" t="s">
        <v>147</v>
      </c>
      <c r="E90" s="2">
        <v>10.4</v>
      </c>
    </row>
    <row r="91" spans="1:5" x14ac:dyDescent="0.2">
      <c r="A91" s="3" t="s">
        <v>1</v>
      </c>
      <c r="B91" s="3" t="s">
        <v>15</v>
      </c>
      <c r="C91" s="3" t="s">
        <v>67</v>
      </c>
      <c r="D91" s="3" t="s">
        <v>146</v>
      </c>
      <c r="E91" s="3">
        <v>8.6</v>
      </c>
    </row>
    <row r="92" spans="1:5" x14ac:dyDescent="0.2">
      <c r="A92" s="2" t="s">
        <v>1</v>
      </c>
      <c r="B92" s="2" t="s">
        <v>15</v>
      </c>
      <c r="C92" s="2" t="s">
        <v>68</v>
      </c>
      <c r="D92" s="2" t="s">
        <v>144</v>
      </c>
      <c r="E92" s="2">
        <v>19.7</v>
      </c>
    </row>
    <row r="93" spans="1:5" x14ac:dyDescent="0.2">
      <c r="A93" s="3" t="s">
        <v>1</v>
      </c>
      <c r="B93" s="3" t="s">
        <v>15</v>
      </c>
      <c r="C93" s="3" t="s">
        <v>68</v>
      </c>
      <c r="D93" s="3" t="s">
        <v>148</v>
      </c>
      <c r="E93" s="3">
        <v>15.5</v>
      </c>
    </row>
    <row r="94" spans="1:5" x14ac:dyDescent="0.2">
      <c r="A94" s="2" t="s">
        <v>1</v>
      </c>
      <c r="B94" s="2" t="s">
        <v>15</v>
      </c>
      <c r="C94" s="2" t="s">
        <v>68</v>
      </c>
      <c r="D94" s="2" t="s">
        <v>149</v>
      </c>
      <c r="E94" s="2">
        <v>12.4</v>
      </c>
    </row>
    <row r="95" spans="1:5" x14ac:dyDescent="0.2">
      <c r="A95" s="3" t="s">
        <v>1</v>
      </c>
      <c r="B95" s="3" t="s">
        <v>15</v>
      </c>
      <c r="C95" s="3" t="s">
        <v>68</v>
      </c>
      <c r="D95" s="3" t="s">
        <v>147</v>
      </c>
      <c r="E95" s="3">
        <v>10.1</v>
      </c>
    </row>
    <row r="96" spans="1:5" x14ac:dyDescent="0.2">
      <c r="A96" s="2" t="s">
        <v>1</v>
      </c>
      <c r="B96" s="2" t="s">
        <v>15</v>
      </c>
      <c r="C96" s="2" t="s">
        <v>68</v>
      </c>
      <c r="D96" s="2" t="s">
        <v>146</v>
      </c>
      <c r="E96" s="2">
        <v>9.4</v>
      </c>
    </row>
    <row r="97" spans="1:5" x14ac:dyDescent="0.2">
      <c r="A97" s="3" t="s">
        <v>1</v>
      </c>
      <c r="B97" s="3" t="s">
        <v>15</v>
      </c>
      <c r="C97" s="3" t="s">
        <v>69</v>
      </c>
      <c r="D97" s="3" t="s">
        <v>144</v>
      </c>
      <c r="E97" s="3">
        <v>19.7</v>
      </c>
    </row>
    <row r="98" spans="1:5" x14ac:dyDescent="0.2">
      <c r="A98" s="2" t="s">
        <v>1</v>
      </c>
      <c r="B98" s="2" t="s">
        <v>15</v>
      </c>
      <c r="C98" s="2" t="s">
        <v>69</v>
      </c>
      <c r="D98" s="2" t="s">
        <v>148</v>
      </c>
      <c r="E98" s="2">
        <v>15.6</v>
      </c>
    </row>
    <row r="99" spans="1:5" x14ac:dyDescent="0.2">
      <c r="A99" s="3" t="s">
        <v>1</v>
      </c>
      <c r="B99" s="3" t="s">
        <v>15</v>
      </c>
      <c r="C99" s="3" t="s">
        <v>69</v>
      </c>
      <c r="D99" s="3" t="s">
        <v>149</v>
      </c>
      <c r="E99" s="3">
        <v>12.3</v>
      </c>
    </row>
    <row r="100" spans="1:5" x14ac:dyDescent="0.2">
      <c r="A100" s="2" t="s">
        <v>1</v>
      </c>
      <c r="B100" s="2" t="s">
        <v>15</v>
      </c>
      <c r="C100" s="2" t="s">
        <v>69</v>
      </c>
      <c r="D100" s="2" t="s">
        <v>147</v>
      </c>
      <c r="E100" s="2">
        <v>10.4</v>
      </c>
    </row>
    <row r="101" spans="1:5" x14ac:dyDescent="0.2">
      <c r="A101" s="3" t="s">
        <v>1</v>
      </c>
      <c r="B101" s="3" t="s">
        <v>15</v>
      </c>
      <c r="C101" s="3" t="s">
        <v>69</v>
      </c>
      <c r="D101" s="3" t="s">
        <v>146</v>
      </c>
      <c r="E101" s="3">
        <v>8.8000000000000007</v>
      </c>
    </row>
    <row r="102" spans="1:5" x14ac:dyDescent="0.2">
      <c r="A102" s="2" t="s">
        <v>1</v>
      </c>
      <c r="B102" s="2" t="s">
        <v>15</v>
      </c>
      <c r="C102" s="2" t="s">
        <v>70</v>
      </c>
      <c r="D102" s="2" t="s">
        <v>144</v>
      </c>
      <c r="E102" s="2">
        <v>19.899999999999999</v>
      </c>
    </row>
    <row r="103" spans="1:5" x14ac:dyDescent="0.2">
      <c r="A103" s="3" t="s">
        <v>1</v>
      </c>
      <c r="B103" s="3" t="s">
        <v>15</v>
      </c>
      <c r="C103" s="3" t="s">
        <v>70</v>
      </c>
      <c r="D103" s="3" t="s">
        <v>148</v>
      </c>
      <c r="E103" s="3">
        <v>15.6</v>
      </c>
    </row>
    <row r="104" spans="1:5" x14ac:dyDescent="0.2">
      <c r="A104" s="2" t="s">
        <v>1</v>
      </c>
      <c r="B104" s="2" t="s">
        <v>15</v>
      </c>
      <c r="C104" s="2" t="s">
        <v>70</v>
      </c>
      <c r="D104" s="2" t="s">
        <v>149</v>
      </c>
      <c r="E104" s="2">
        <v>12.4</v>
      </c>
    </row>
    <row r="105" spans="1:5" x14ac:dyDescent="0.2">
      <c r="A105" s="3" t="s">
        <v>1</v>
      </c>
      <c r="B105" s="3" t="s">
        <v>15</v>
      </c>
      <c r="C105" s="3" t="s">
        <v>70</v>
      </c>
      <c r="D105" s="3" t="s">
        <v>147</v>
      </c>
      <c r="E105" s="3">
        <v>9.8000000000000007</v>
      </c>
    </row>
    <row r="106" spans="1:5" x14ac:dyDescent="0.2">
      <c r="A106" s="2" t="s">
        <v>1</v>
      </c>
      <c r="B106" s="2" t="s">
        <v>15</v>
      </c>
      <c r="C106" s="2" t="s">
        <v>70</v>
      </c>
      <c r="D106" s="2" t="s">
        <v>146</v>
      </c>
      <c r="E106" s="2">
        <v>9</v>
      </c>
    </row>
    <row r="107" spans="1:5" x14ac:dyDescent="0.2">
      <c r="A107" s="3" t="s">
        <v>2</v>
      </c>
      <c r="B107" s="3" t="s">
        <v>15</v>
      </c>
      <c r="C107" s="3" t="s">
        <v>64</v>
      </c>
      <c r="D107" s="3" t="s">
        <v>154</v>
      </c>
      <c r="E107" s="3">
        <v>21.6</v>
      </c>
    </row>
    <row r="108" spans="1:5" x14ac:dyDescent="0.2">
      <c r="A108" s="2" t="s">
        <v>2</v>
      </c>
      <c r="B108" s="2" t="s">
        <v>15</v>
      </c>
      <c r="C108" s="2" t="s">
        <v>64</v>
      </c>
      <c r="D108" s="2" t="s">
        <v>146</v>
      </c>
      <c r="E108" s="2">
        <v>15.4</v>
      </c>
    </row>
    <row r="109" spans="1:5" x14ac:dyDescent="0.2">
      <c r="A109" s="3" t="s">
        <v>2</v>
      </c>
      <c r="B109" s="3" t="s">
        <v>15</v>
      </c>
      <c r="C109" s="3" t="s">
        <v>64</v>
      </c>
      <c r="D109" s="3" t="s">
        <v>145</v>
      </c>
      <c r="E109" s="3">
        <v>11.6</v>
      </c>
    </row>
    <row r="110" spans="1:5" x14ac:dyDescent="0.2">
      <c r="A110" s="2" t="s">
        <v>2</v>
      </c>
      <c r="B110" s="2" t="s">
        <v>15</v>
      </c>
      <c r="C110" s="2" t="s">
        <v>64</v>
      </c>
      <c r="D110" s="2" t="s">
        <v>148</v>
      </c>
      <c r="E110" s="2">
        <v>10</v>
      </c>
    </row>
    <row r="111" spans="1:5" x14ac:dyDescent="0.2">
      <c r="A111" s="3" t="s">
        <v>2</v>
      </c>
      <c r="B111" s="3" t="s">
        <v>15</v>
      </c>
      <c r="C111" s="3" t="s">
        <v>64</v>
      </c>
      <c r="D111" s="3" t="s">
        <v>150</v>
      </c>
      <c r="E111" s="3">
        <v>8.1999999999999993</v>
      </c>
    </row>
    <row r="112" spans="1:5" x14ac:dyDescent="0.2">
      <c r="A112" s="2" t="s">
        <v>2</v>
      </c>
      <c r="B112" s="2" t="s">
        <v>15</v>
      </c>
      <c r="C112" s="2" t="s">
        <v>65</v>
      </c>
      <c r="D112" s="2" t="s">
        <v>154</v>
      </c>
      <c r="E112" s="2">
        <v>22.2</v>
      </c>
    </row>
    <row r="113" spans="1:5" x14ac:dyDescent="0.2">
      <c r="A113" s="3" t="s">
        <v>2</v>
      </c>
      <c r="B113" s="3" t="s">
        <v>15</v>
      </c>
      <c r="C113" s="3" t="s">
        <v>65</v>
      </c>
      <c r="D113" s="3" t="s">
        <v>146</v>
      </c>
      <c r="E113" s="3">
        <v>15.4</v>
      </c>
    </row>
    <row r="114" spans="1:5" x14ac:dyDescent="0.2">
      <c r="A114" s="2" t="s">
        <v>2</v>
      </c>
      <c r="B114" s="2" t="s">
        <v>15</v>
      </c>
      <c r="C114" s="2" t="s">
        <v>65</v>
      </c>
      <c r="D114" s="2" t="s">
        <v>145</v>
      </c>
      <c r="E114" s="2">
        <v>11.9</v>
      </c>
    </row>
    <row r="115" spans="1:5" x14ac:dyDescent="0.2">
      <c r="A115" s="3" t="s">
        <v>2</v>
      </c>
      <c r="B115" s="3" t="s">
        <v>15</v>
      </c>
      <c r="C115" s="3" t="s">
        <v>65</v>
      </c>
      <c r="D115" s="3" t="s">
        <v>148</v>
      </c>
      <c r="E115" s="3">
        <v>10.199999999999999</v>
      </c>
    </row>
    <row r="116" spans="1:5" x14ac:dyDescent="0.2">
      <c r="A116" s="2" t="s">
        <v>2</v>
      </c>
      <c r="B116" s="2" t="s">
        <v>15</v>
      </c>
      <c r="C116" s="2" t="s">
        <v>65</v>
      </c>
      <c r="D116" s="2" t="s">
        <v>150</v>
      </c>
      <c r="E116" s="2">
        <v>7.7</v>
      </c>
    </row>
    <row r="117" spans="1:5" x14ac:dyDescent="0.2">
      <c r="A117" s="3" t="s">
        <v>2</v>
      </c>
      <c r="B117" s="3" t="s">
        <v>15</v>
      </c>
      <c r="C117" s="3" t="s">
        <v>66</v>
      </c>
      <c r="D117" s="3" t="s">
        <v>154</v>
      </c>
      <c r="E117" s="3">
        <v>21.9</v>
      </c>
    </row>
    <row r="118" spans="1:5" x14ac:dyDescent="0.2">
      <c r="A118" s="2" t="s">
        <v>2</v>
      </c>
      <c r="B118" s="2" t="s">
        <v>15</v>
      </c>
      <c r="C118" s="2" t="s">
        <v>66</v>
      </c>
      <c r="D118" s="2" t="s">
        <v>146</v>
      </c>
      <c r="E118" s="2">
        <v>14.6</v>
      </c>
    </row>
    <row r="119" spans="1:5" x14ac:dyDescent="0.2">
      <c r="A119" s="3" t="s">
        <v>2</v>
      </c>
      <c r="B119" s="3" t="s">
        <v>15</v>
      </c>
      <c r="C119" s="3" t="s">
        <v>66</v>
      </c>
      <c r="D119" s="3" t="s">
        <v>145</v>
      </c>
      <c r="E119" s="3">
        <v>12</v>
      </c>
    </row>
    <row r="120" spans="1:5" x14ac:dyDescent="0.2">
      <c r="A120" s="2" t="s">
        <v>2</v>
      </c>
      <c r="B120" s="2" t="s">
        <v>15</v>
      </c>
      <c r="C120" s="2" t="s">
        <v>66</v>
      </c>
      <c r="D120" s="2" t="s">
        <v>148</v>
      </c>
      <c r="E120" s="2">
        <v>9.9</v>
      </c>
    </row>
    <row r="121" spans="1:5" x14ac:dyDescent="0.2">
      <c r="A121" s="3" t="s">
        <v>2</v>
      </c>
      <c r="B121" s="3" t="s">
        <v>15</v>
      </c>
      <c r="C121" s="3" t="s">
        <v>66</v>
      </c>
      <c r="D121" s="3" t="s">
        <v>150</v>
      </c>
      <c r="E121" s="3">
        <v>8.5</v>
      </c>
    </row>
    <row r="122" spans="1:5" x14ac:dyDescent="0.2">
      <c r="A122" s="2" t="s">
        <v>2</v>
      </c>
      <c r="B122" s="2" t="s">
        <v>15</v>
      </c>
      <c r="C122" s="2" t="s">
        <v>67</v>
      </c>
      <c r="D122" s="2" t="s">
        <v>154</v>
      </c>
      <c r="E122" s="2">
        <v>21.5</v>
      </c>
    </row>
    <row r="123" spans="1:5" x14ac:dyDescent="0.2">
      <c r="A123" s="3" t="s">
        <v>2</v>
      </c>
      <c r="B123" s="3" t="s">
        <v>15</v>
      </c>
      <c r="C123" s="3" t="s">
        <v>67</v>
      </c>
      <c r="D123" s="3" t="s">
        <v>146</v>
      </c>
      <c r="E123" s="3">
        <v>14.9</v>
      </c>
    </row>
    <row r="124" spans="1:5" x14ac:dyDescent="0.2">
      <c r="A124" s="2" t="s">
        <v>2</v>
      </c>
      <c r="B124" s="2" t="s">
        <v>15</v>
      </c>
      <c r="C124" s="2" t="s">
        <v>67</v>
      </c>
      <c r="D124" s="2" t="s">
        <v>145</v>
      </c>
      <c r="E124" s="2">
        <v>11.9</v>
      </c>
    </row>
    <row r="125" spans="1:5" x14ac:dyDescent="0.2">
      <c r="A125" s="3" t="s">
        <v>2</v>
      </c>
      <c r="B125" s="3" t="s">
        <v>15</v>
      </c>
      <c r="C125" s="3" t="s">
        <v>67</v>
      </c>
      <c r="D125" s="3" t="s">
        <v>148</v>
      </c>
      <c r="E125" s="3">
        <v>10.5</v>
      </c>
    </row>
    <row r="126" spans="1:5" x14ac:dyDescent="0.2">
      <c r="A126" s="2" t="s">
        <v>2</v>
      </c>
      <c r="B126" s="2" t="s">
        <v>15</v>
      </c>
      <c r="C126" s="2" t="s">
        <v>67</v>
      </c>
      <c r="D126" s="2" t="s">
        <v>150</v>
      </c>
      <c r="E126" s="2">
        <v>8.4</v>
      </c>
    </row>
    <row r="127" spans="1:5" x14ac:dyDescent="0.2">
      <c r="A127" s="3" t="s">
        <v>2</v>
      </c>
      <c r="B127" s="3" t="s">
        <v>15</v>
      </c>
      <c r="C127" s="3" t="s">
        <v>68</v>
      </c>
      <c r="D127" s="3" t="s">
        <v>154</v>
      </c>
      <c r="E127" s="3">
        <v>21.6</v>
      </c>
    </row>
    <row r="128" spans="1:5" x14ac:dyDescent="0.2">
      <c r="A128" s="2" t="s">
        <v>2</v>
      </c>
      <c r="B128" s="2" t="s">
        <v>15</v>
      </c>
      <c r="C128" s="2" t="s">
        <v>68</v>
      </c>
      <c r="D128" s="2" t="s">
        <v>146</v>
      </c>
      <c r="E128" s="2">
        <v>15.2</v>
      </c>
    </row>
    <row r="129" spans="1:5" x14ac:dyDescent="0.2">
      <c r="A129" s="3" t="s">
        <v>2</v>
      </c>
      <c r="B129" s="3" t="s">
        <v>15</v>
      </c>
      <c r="C129" s="3" t="s">
        <v>68</v>
      </c>
      <c r="D129" s="3" t="s">
        <v>145</v>
      </c>
      <c r="E129" s="3">
        <v>12</v>
      </c>
    </row>
    <row r="130" spans="1:5" x14ac:dyDescent="0.2">
      <c r="A130" s="2" t="s">
        <v>2</v>
      </c>
      <c r="B130" s="2" t="s">
        <v>15</v>
      </c>
      <c r="C130" s="2" t="s">
        <v>68</v>
      </c>
      <c r="D130" s="2" t="s">
        <v>148</v>
      </c>
      <c r="E130" s="2">
        <v>10.5</v>
      </c>
    </row>
    <row r="131" spans="1:5" x14ac:dyDescent="0.2">
      <c r="A131" s="3" t="s">
        <v>2</v>
      </c>
      <c r="B131" s="3" t="s">
        <v>15</v>
      </c>
      <c r="C131" s="3" t="s">
        <v>68</v>
      </c>
      <c r="D131" s="3" t="s">
        <v>150</v>
      </c>
      <c r="E131" s="3">
        <v>7.9</v>
      </c>
    </row>
    <row r="132" spans="1:5" x14ac:dyDescent="0.2">
      <c r="A132" s="2" t="s">
        <v>2</v>
      </c>
      <c r="B132" s="2" t="s">
        <v>15</v>
      </c>
      <c r="C132" s="2" t="s">
        <v>69</v>
      </c>
      <c r="D132" s="2" t="s">
        <v>154</v>
      </c>
      <c r="E132" s="2">
        <v>21.9</v>
      </c>
    </row>
    <row r="133" spans="1:5" x14ac:dyDescent="0.2">
      <c r="A133" s="3" t="s">
        <v>2</v>
      </c>
      <c r="B133" s="3" t="s">
        <v>15</v>
      </c>
      <c r="C133" s="3" t="s">
        <v>69</v>
      </c>
      <c r="D133" s="3" t="s">
        <v>146</v>
      </c>
      <c r="E133" s="3">
        <v>14.7</v>
      </c>
    </row>
    <row r="134" spans="1:5" x14ac:dyDescent="0.2">
      <c r="A134" s="2" t="s">
        <v>2</v>
      </c>
      <c r="B134" s="2" t="s">
        <v>15</v>
      </c>
      <c r="C134" s="2" t="s">
        <v>69</v>
      </c>
      <c r="D134" s="2" t="s">
        <v>145</v>
      </c>
      <c r="E134" s="2">
        <v>11.6</v>
      </c>
    </row>
    <row r="135" spans="1:5" x14ac:dyDescent="0.2">
      <c r="A135" s="3" t="s">
        <v>2</v>
      </c>
      <c r="B135" s="3" t="s">
        <v>15</v>
      </c>
      <c r="C135" s="3" t="s">
        <v>69</v>
      </c>
      <c r="D135" s="3" t="s">
        <v>148</v>
      </c>
      <c r="E135" s="3">
        <v>10.3</v>
      </c>
    </row>
    <row r="136" spans="1:5" x14ac:dyDescent="0.2">
      <c r="A136" s="2" t="s">
        <v>2</v>
      </c>
      <c r="B136" s="2" t="s">
        <v>15</v>
      </c>
      <c r="C136" s="2" t="s">
        <v>69</v>
      </c>
      <c r="D136" s="2" t="s">
        <v>150</v>
      </c>
      <c r="E136" s="2">
        <v>8</v>
      </c>
    </row>
    <row r="137" spans="1:5" x14ac:dyDescent="0.2">
      <c r="A137" s="3" t="s">
        <v>2</v>
      </c>
      <c r="B137" s="3" t="s">
        <v>15</v>
      </c>
      <c r="C137" s="3" t="s">
        <v>70</v>
      </c>
      <c r="D137" s="3" t="s">
        <v>154</v>
      </c>
      <c r="E137" s="3">
        <v>22.2</v>
      </c>
    </row>
    <row r="138" spans="1:5" x14ac:dyDescent="0.2">
      <c r="A138" s="2" t="s">
        <v>2</v>
      </c>
      <c r="B138" s="2" t="s">
        <v>15</v>
      </c>
      <c r="C138" s="2" t="s">
        <v>70</v>
      </c>
      <c r="D138" s="2" t="s">
        <v>146</v>
      </c>
      <c r="E138" s="2">
        <v>15.1</v>
      </c>
    </row>
    <row r="139" spans="1:5" x14ac:dyDescent="0.2">
      <c r="A139" s="3" t="s">
        <v>2</v>
      </c>
      <c r="B139" s="3" t="s">
        <v>15</v>
      </c>
      <c r="C139" s="3" t="s">
        <v>70</v>
      </c>
      <c r="D139" s="3" t="s">
        <v>145</v>
      </c>
      <c r="E139" s="3">
        <v>12.1</v>
      </c>
    </row>
    <row r="140" spans="1:5" x14ac:dyDescent="0.2">
      <c r="A140" s="2" t="s">
        <v>2</v>
      </c>
      <c r="B140" s="2" t="s">
        <v>15</v>
      </c>
      <c r="C140" s="2" t="s">
        <v>70</v>
      </c>
      <c r="D140" s="2" t="s">
        <v>148</v>
      </c>
      <c r="E140" s="2">
        <v>9.5</v>
      </c>
    </row>
    <row r="141" spans="1:5" x14ac:dyDescent="0.2">
      <c r="A141" s="3" t="s">
        <v>2</v>
      </c>
      <c r="B141" s="3" t="s">
        <v>15</v>
      </c>
      <c r="C141" s="3" t="s">
        <v>70</v>
      </c>
      <c r="D141" s="3" t="s">
        <v>150</v>
      </c>
      <c r="E141" s="3">
        <v>8.3000000000000007</v>
      </c>
    </row>
    <row r="142" spans="1:5" x14ac:dyDescent="0.2">
      <c r="A142" s="2" t="s">
        <v>3</v>
      </c>
      <c r="B142" s="2" t="s">
        <v>15</v>
      </c>
      <c r="C142" s="2" t="s">
        <v>64</v>
      </c>
      <c r="D142" s="2" t="s">
        <v>144</v>
      </c>
      <c r="E142" s="2">
        <v>15.7</v>
      </c>
    </row>
    <row r="143" spans="1:5" x14ac:dyDescent="0.2">
      <c r="A143" s="3" t="s">
        <v>3</v>
      </c>
      <c r="B143" s="3" t="s">
        <v>15</v>
      </c>
      <c r="C143" s="3" t="s">
        <v>64</v>
      </c>
      <c r="D143" s="3" t="s">
        <v>155</v>
      </c>
      <c r="E143" s="3">
        <v>13.6</v>
      </c>
    </row>
    <row r="144" spans="1:5" x14ac:dyDescent="0.2">
      <c r="A144" s="2" t="s">
        <v>3</v>
      </c>
      <c r="B144" s="2" t="s">
        <v>15</v>
      </c>
      <c r="C144" s="2" t="s">
        <v>64</v>
      </c>
      <c r="D144" s="2" t="s">
        <v>156</v>
      </c>
      <c r="E144" s="2">
        <v>12.1</v>
      </c>
    </row>
    <row r="145" spans="1:5" x14ac:dyDescent="0.2">
      <c r="A145" s="3" t="s">
        <v>3</v>
      </c>
      <c r="B145" s="3" t="s">
        <v>15</v>
      </c>
      <c r="C145" s="3" t="s">
        <v>64</v>
      </c>
      <c r="D145" s="3" t="s">
        <v>157</v>
      </c>
      <c r="E145" s="3">
        <v>9.6</v>
      </c>
    </row>
    <row r="146" spans="1:5" x14ac:dyDescent="0.2">
      <c r="A146" s="2" t="s">
        <v>3</v>
      </c>
      <c r="B146" s="2" t="s">
        <v>15</v>
      </c>
      <c r="C146" s="2" t="s">
        <v>64</v>
      </c>
      <c r="D146" s="2" t="s">
        <v>147</v>
      </c>
      <c r="E146" s="2">
        <v>9.3000000000000007</v>
      </c>
    </row>
    <row r="147" spans="1:5" x14ac:dyDescent="0.2">
      <c r="A147" s="3" t="s">
        <v>3</v>
      </c>
      <c r="B147" s="3" t="s">
        <v>15</v>
      </c>
      <c r="C147" s="3" t="s">
        <v>65</v>
      </c>
      <c r="D147" s="3" t="s">
        <v>144</v>
      </c>
      <c r="E147" s="3">
        <v>15.7</v>
      </c>
    </row>
    <row r="148" spans="1:5" x14ac:dyDescent="0.2">
      <c r="A148" s="2" t="s">
        <v>3</v>
      </c>
      <c r="B148" s="2" t="s">
        <v>15</v>
      </c>
      <c r="C148" s="2" t="s">
        <v>65</v>
      </c>
      <c r="D148" s="2" t="s">
        <v>155</v>
      </c>
      <c r="E148" s="2">
        <v>13.7</v>
      </c>
    </row>
    <row r="149" spans="1:5" x14ac:dyDescent="0.2">
      <c r="A149" s="3" t="s">
        <v>3</v>
      </c>
      <c r="B149" s="3" t="s">
        <v>15</v>
      </c>
      <c r="C149" s="3" t="s">
        <v>65</v>
      </c>
      <c r="D149" s="3" t="s">
        <v>156</v>
      </c>
      <c r="E149" s="3">
        <v>12.4</v>
      </c>
    </row>
    <row r="150" spans="1:5" x14ac:dyDescent="0.2">
      <c r="A150" s="2" t="s">
        <v>3</v>
      </c>
      <c r="B150" s="2" t="s">
        <v>15</v>
      </c>
      <c r="C150" s="2" t="s">
        <v>65</v>
      </c>
      <c r="D150" s="2" t="s">
        <v>157</v>
      </c>
      <c r="E150" s="2">
        <v>9.8000000000000007</v>
      </c>
    </row>
    <row r="151" spans="1:5" x14ac:dyDescent="0.2">
      <c r="A151" s="3" t="s">
        <v>3</v>
      </c>
      <c r="B151" s="3" t="s">
        <v>15</v>
      </c>
      <c r="C151" s="3" t="s">
        <v>65</v>
      </c>
      <c r="D151" s="3" t="s">
        <v>147</v>
      </c>
      <c r="E151" s="3">
        <v>8.6</v>
      </c>
    </row>
    <row r="152" spans="1:5" x14ac:dyDescent="0.2">
      <c r="A152" s="2" t="s">
        <v>3</v>
      </c>
      <c r="B152" s="2" t="s">
        <v>15</v>
      </c>
      <c r="C152" s="2" t="s">
        <v>66</v>
      </c>
      <c r="D152" s="2" t="s">
        <v>144</v>
      </c>
      <c r="E152" s="2">
        <v>16.399999999999999</v>
      </c>
    </row>
    <row r="153" spans="1:5" x14ac:dyDescent="0.2">
      <c r="A153" s="3" t="s">
        <v>3</v>
      </c>
      <c r="B153" s="3" t="s">
        <v>15</v>
      </c>
      <c r="C153" s="3" t="s">
        <v>66</v>
      </c>
      <c r="D153" s="3" t="s">
        <v>155</v>
      </c>
      <c r="E153" s="3">
        <v>13.5</v>
      </c>
    </row>
    <row r="154" spans="1:5" x14ac:dyDescent="0.2">
      <c r="A154" s="2" t="s">
        <v>3</v>
      </c>
      <c r="B154" s="2" t="s">
        <v>15</v>
      </c>
      <c r="C154" s="2" t="s">
        <v>66</v>
      </c>
      <c r="D154" s="2" t="s">
        <v>156</v>
      </c>
      <c r="E154" s="2">
        <v>12.4</v>
      </c>
    </row>
    <row r="155" spans="1:5" x14ac:dyDescent="0.2">
      <c r="A155" s="3" t="s">
        <v>3</v>
      </c>
      <c r="B155" s="3" t="s">
        <v>15</v>
      </c>
      <c r="C155" s="3" t="s">
        <v>66</v>
      </c>
      <c r="D155" s="3" t="s">
        <v>157</v>
      </c>
      <c r="E155" s="3">
        <v>9.6</v>
      </c>
    </row>
    <row r="156" spans="1:5" x14ac:dyDescent="0.2">
      <c r="A156" s="2" t="s">
        <v>3</v>
      </c>
      <c r="B156" s="2" t="s">
        <v>15</v>
      </c>
      <c r="C156" s="2" t="s">
        <v>66</v>
      </c>
      <c r="D156" s="2" t="s">
        <v>147</v>
      </c>
      <c r="E156" s="2">
        <v>8.6</v>
      </c>
    </row>
    <row r="157" spans="1:5" x14ac:dyDescent="0.2">
      <c r="A157" s="3" t="s">
        <v>3</v>
      </c>
      <c r="B157" s="3" t="s">
        <v>15</v>
      </c>
      <c r="C157" s="3" t="s">
        <v>67</v>
      </c>
      <c r="D157" s="3" t="s">
        <v>144</v>
      </c>
      <c r="E157" s="3">
        <v>15.8</v>
      </c>
    </row>
    <row r="158" spans="1:5" x14ac:dyDescent="0.2">
      <c r="A158" s="2" t="s">
        <v>3</v>
      </c>
      <c r="B158" s="2" t="s">
        <v>15</v>
      </c>
      <c r="C158" s="2" t="s">
        <v>67</v>
      </c>
      <c r="D158" s="2" t="s">
        <v>155</v>
      </c>
      <c r="E158" s="2">
        <v>13.7</v>
      </c>
    </row>
    <row r="159" spans="1:5" x14ac:dyDescent="0.2">
      <c r="A159" s="3" t="s">
        <v>3</v>
      </c>
      <c r="B159" s="3" t="s">
        <v>15</v>
      </c>
      <c r="C159" s="3" t="s">
        <v>67</v>
      </c>
      <c r="D159" s="3" t="s">
        <v>156</v>
      </c>
      <c r="E159" s="3">
        <v>12.2</v>
      </c>
    </row>
    <row r="160" spans="1:5" x14ac:dyDescent="0.2">
      <c r="A160" s="2" t="s">
        <v>3</v>
      </c>
      <c r="B160" s="2" t="s">
        <v>15</v>
      </c>
      <c r="C160" s="2" t="s">
        <v>67</v>
      </c>
      <c r="D160" s="2" t="s">
        <v>157</v>
      </c>
      <c r="E160" s="2">
        <v>9.5</v>
      </c>
    </row>
    <row r="161" spans="1:5" x14ac:dyDescent="0.2">
      <c r="A161" s="3" t="s">
        <v>3</v>
      </c>
      <c r="B161" s="3" t="s">
        <v>15</v>
      </c>
      <c r="C161" s="3" t="s">
        <v>67</v>
      </c>
      <c r="D161" s="3" t="s">
        <v>147</v>
      </c>
      <c r="E161" s="3">
        <v>8.5</v>
      </c>
    </row>
    <row r="162" spans="1:5" x14ac:dyDescent="0.2">
      <c r="A162" s="2" t="s">
        <v>3</v>
      </c>
      <c r="B162" s="2" t="s">
        <v>15</v>
      </c>
      <c r="C162" s="2" t="s">
        <v>68</v>
      </c>
      <c r="D162" s="2" t="s">
        <v>144</v>
      </c>
      <c r="E162" s="2">
        <v>16.3</v>
      </c>
    </row>
    <row r="163" spans="1:5" x14ac:dyDescent="0.2">
      <c r="A163" s="3" t="s">
        <v>3</v>
      </c>
      <c r="B163" s="3" t="s">
        <v>15</v>
      </c>
      <c r="C163" s="3" t="s">
        <v>68</v>
      </c>
      <c r="D163" s="3" t="s">
        <v>155</v>
      </c>
      <c r="E163" s="3">
        <v>13.7</v>
      </c>
    </row>
    <row r="164" spans="1:5" x14ac:dyDescent="0.2">
      <c r="A164" s="2" t="s">
        <v>3</v>
      </c>
      <c r="B164" s="2" t="s">
        <v>15</v>
      </c>
      <c r="C164" s="2" t="s">
        <v>68</v>
      </c>
      <c r="D164" s="2" t="s">
        <v>156</v>
      </c>
      <c r="E164" s="2">
        <v>11.8</v>
      </c>
    </row>
    <row r="165" spans="1:5" x14ac:dyDescent="0.2">
      <c r="A165" s="3" t="s">
        <v>3</v>
      </c>
      <c r="B165" s="3" t="s">
        <v>15</v>
      </c>
      <c r="C165" s="3" t="s">
        <v>68</v>
      </c>
      <c r="D165" s="3" t="s">
        <v>157</v>
      </c>
      <c r="E165" s="3">
        <v>9.6999999999999993</v>
      </c>
    </row>
    <row r="166" spans="1:5" x14ac:dyDescent="0.2">
      <c r="A166" s="2" t="s">
        <v>3</v>
      </c>
      <c r="B166" s="2" t="s">
        <v>15</v>
      </c>
      <c r="C166" s="2" t="s">
        <v>68</v>
      </c>
      <c r="D166" s="2" t="s">
        <v>147</v>
      </c>
      <c r="E166" s="2">
        <v>8.6</v>
      </c>
    </row>
    <row r="167" spans="1:5" x14ac:dyDescent="0.2">
      <c r="A167" s="3" t="s">
        <v>3</v>
      </c>
      <c r="B167" s="3" t="s">
        <v>15</v>
      </c>
      <c r="C167" s="3" t="s">
        <v>69</v>
      </c>
      <c r="D167" s="3" t="s">
        <v>144</v>
      </c>
      <c r="E167" s="3">
        <v>16.2</v>
      </c>
    </row>
    <row r="168" spans="1:5" x14ac:dyDescent="0.2">
      <c r="A168" s="2" t="s">
        <v>3</v>
      </c>
      <c r="B168" s="2" t="s">
        <v>15</v>
      </c>
      <c r="C168" s="2" t="s">
        <v>69</v>
      </c>
      <c r="D168" s="2" t="s">
        <v>155</v>
      </c>
      <c r="E168" s="2">
        <v>14</v>
      </c>
    </row>
    <row r="169" spans="1:5" x14ac:dyDescent="0.2">
      <c r="A169" s="3" t="s">
        <v>3</v>
      </c>
      <c r="B169" s="3" t="s">
        <v>15</v>
      </c>
      <c r="C169" s="3" t="s">
        <v>69</v>
      </c>
      <c r="D169" s="3" t="s">
        <v>156</v>
      </c>
      <c r="E169" s="3">
        <v>12.2</v>
      </c>
    </row>
    <row r="170" spans="1:5" x14ac:dyDescent="0.2">
      <c r="A170" s="2" t="s">
        <v>3</v>
      </c>
      <c r="B170" s="2" t="s">
        <v>15</v>
      </c>
      <c r="C170" s="2" t="s">
        <v>69</v>
      </c>
      <c r="D170" s="2" t="s">
        <v>157</v>
      </c>
      <c r="E170" s="2">
        <v>10</v>
      </c>
    </row>
    <row r="171" spans="1:5" x14ac:dyDescent="0.2">
      <c r="A171" s="3" t="s">
        <v>3</v>
      </c>
      <c r="B171" s="3" t="s">
        <v>15</v>
      </c>
      <c r="C171" s="3" t="s">
        <v>69</v>
      </c>
      <c r="D171" s="3" t="s">
        <v>147</v>
      </c>
      <c r="E171" s="3">
        <v>9.3000000000000007</v>
      </c>
    </row>
    <row r="172" spans="1:5" x14ac:dyDescent="0.2">
      <c r="A172" s="2" t="s">
        <v>3</v>
      </c>
      <c r="B172" s="2" t="s">
        <v>15</v>
      </c>
      <c r="C172" s="2" t="s">
        <v>70</v>
      </c>
      <c r="D172" s="2" t="s">
        <v>144</v>
      </c>
      <c r="E172" s="2">
        <v>16</v>
      </c>
    </row>
    <row r="173" spans="1:5" x14ac:dyDescent="0.2">
      <c r="A173" s="3" t="s">
        <v>3</v>
      </c>
      <c r="B173" s="3" t="s">
        <v>15</v>
      </c>
      <c r="C173" s="3" t="s">
        <v>70</v>
      </c>
      <c r="D173" s="3" t="s">
        <v>155</v>
      </c>
      <c r="E173" s="3">
        <v>13.6</v>
      </c>
    </row>
    <row r="174" spans="1:5" x14ac:dyDescent="0.2">
      <c r="A174" s="2" t="s">
        <v>3</v>
      </c>
      <c r="B174" s="2" t="s">
        <v>15</v>
      </c>
      <c r="C174" s="2" t="s">
        <v>70</v>
      </c>
      <c r="D174" s="2" t="s">
        <v>156</v>
      </c>
      <c r="E174" s="2">
        <v>12</v>
      </c>
    </row>
    <row r="175" spans="1:5" x14ac:dyDescent="0.2">
      <c r="A175" s="3" t="s">
        <v>3</v>
      </c>
      <c r="B175" s="3" t="s">
        <v>15</v>
      </c>
      <c r="C175" s="3" t="s">
        <v>70</v>
      </c>
      <c r="D175" s="3" t="s">
        <v>157</v>
      </c>
      <c r="E175" s="3">
        <v>10.4</v>
      </c>
    </row>
    <row r="176" spans="1:5" x14ac:dyDescent="0.2">
      <c r="A176" s="2" t="s">
        <v>3</v>
      </c>
      <c r="B176" s="2" t="s">
        <v>15</v>
      </c>
      <c r="C176" s="2" t="s">
        <v>70</v>
      </c>
      <c r="D176" s="2" t="s">
        <v>147</v>
      </c>
      <c r="E176" s="2">
        <v>8.5</v>
      </c>
    </row>
    <row r="177" spans="1:5" x14ac:dyDescent="0.2">
      <c r="A177" s="3" t="s">
        <v>4</v>
      </c>
      <c r="B177" s="3" t="s">
        <v>15</v>
      </c>
      <c r="C177" s="3" t="s">
        <v>64</v>
      </c>
      <c r="D177" s="3" t="s">
        <v>144</v>
      </c>
      <c r="E177" s="3">
        <v>19.3</v>
      </c>
    </row>
    <row r="178" spans="1:5" x14ac:dyDescent="0.2">
      <c r="A178" s="2" t="s">
        <v>4</v>
      </c>
      <c r="B178" s="2" t="s">
        <v>15</v>
      </c>
      <c r="C178" s="2" t="s">
        <v>64</v>
      </c>
      <c r="D178" s="2" t="s">
        <v>146</v>
      </c>
      <c r="E178" s="2">
        <v>14.4</v>
      </c>
    </row>
    <row r="179" spans="1:5" x14ac:dyDescent="0.2">
      <c r="A179" s="3" t="s">
        <v>4</v>
      </c>
      <c r="B179" s="3" t="s">
        <v>15</v>
      </c>
      <c r="C179" s="3" t="s">
        <v>64</v>
      </c>
      <c r="D179" s="3" t="s">
        <v>147</v>
      </c>
      <c r="E179" s="3">
        <v>11</v>
      </c>
    </row>
    <row r="180" spans="1:5" x14ac:dyDescent="0.2">
      <c r="A180" s="2" t="s">
        <v>4</v>
      </c>
      <c r="B180" s="2" t="s">
        <v>15</v>
      </c>
      <c r="C180" s="2" t="s">
        <v>64</v>
      </c>
      <c r="D180" s="2" t="s">
        <v>150</v>
      </c>
      <c r="E180" s="2">
        <v>10</v>
      </c>
    </row>
    <row r="181" spans="1:5" x14ac:dyDescent="0.2">
      <c r="A181" s="3" t="s">
        <v>4</v>
      </c>
      <c r="B181" s="3" t="s">
        <v>15</v>
      </c>
      <c r="C181" s="3" t="s">
        <v>64</v>
      </c>
      <c r="D181" s="3" t="s">
        <v>148</v>
      </c>
      <c r="E181" s="3">
        <v>8.5</v>
      </c>
    </row>
    <row r="182" spans="1:5" x14ac:dyDescent="0.2">
      <c r="A182" s="2" t="s">
        <v>4</v>
      </c>
      <c r="B182" s="2" t="s">
        <v>15</v>
      </c>
      <c r="C182" s="2" t="s">
        <v>65</v>
      </c>
      <c r="D182" s="2" t="s">
        <v>144</v>
      </c>
      <c r="E182" s="2">
        <v>18.600000000000001</v>
      </c>
    </row>
    <row r="183" spans="1:5" x14ac:dyDescent="0.2">
      <c r="A183" s="3" t="s">
        <v>4</v>
      </c>
      <c r="B183" s="3" t="s">
        <v>15</v>
      </c>
      <c r="C183" s="3" t="s">
        <v>65</v>
      </c>
      <c r="D183" s="3" t="s">
        <v>146</v>
      </c>
      <c r="E183" s="3">
        <v>14</v>
      </c>
    </row>
    <row r="184" spans="1:5" x14ac:dyDescent="0.2">
      <c r="A184" s="2" t="s">
        <v>4</v>
      </c>
      <c r="B184" s="2" t="s">
        <v>15</v>
      </c>
      <c r="C184" s="2" t="s">
        <v>65</v>
      </c>
      <c r="D184" s="2" t="s">
        <v>147</v>
      </c>
      <c r="E184" s="2">
        <v>10.9</v>
      </c>
    </row>
    <row r="185" spans="1:5" x14ac:dyDescent="0.2">
      <c r="A185" s="3" t="s">
        <v>4</v>
      </c>
      <c r="B185" s="3" t="s">
        <v>15</v>
      </c>
      <c r="C185" s="3" t="s">
        <v>65</v>
      </c>
      <c r="D185" s="3" t="s">
        <v>150</v>
      </c>
      <c r="E185" s="3">
        <v>10.199999999999999</v>
      </c>
    </row>
    <row r="186" spans="1:5" x14ac:dyDescent="0.2">
      <c r="A186" s="2" t="s">
        <v>4</v>
      </c>
      <c r="B186" s="2" t="s">
        <v>15</v>
      </c>
      <c r="C186" s="2" t="s">
        <v>65</v>
      </c>
      <c r="D186" s="2" t="s">
        <v>148</v>
      </c>
      <c r="E186" s="2">
        <v>8</v>
      </c>
    </row>
    <row r="187" spans="1:5" x14ac:dyDescent="0.2">
      <c r="A187" s="3" t="s">
        <v>4</v>
      </c>
      <c r="B187" s="3" t="s">
        <v>15</v>
      </c>
      <c r="C187" s="3" t="s">
        <v>66</v>
      </c>
      <c r="D187" s="3" t="s">
        <v>144</v>
      </c>
      <c r="E187" s="3">
        <v>19.399999999999999</v>
      </c>
    </row>
    <row r="188" spans="1:5" x14ac:dyDescent="0.2">
      <c r="A188" s="2" t="s">
        <v>4</v>
      </c>
      <c r="B188" s="2" t="s">
        <v>15</v>
      </c>
      <c r="C188" s="2" t="s">
        <v>66</v>
      </c>
      <c r="D188" s="2" t="s">
        <v>146</v>
      </c>
      <c r="E188" s="2">
        <v>13.6</v>
      </c>
    </row>
    <row r="189" spans="1:5" x14ac:dyDescent="0.2">
      <c r="A189" s="3" t="s">
        <v>4</v>
      </c>
      <c r="B189" s="3" t="s">
        <v>15</v>
      </c>
      <c r="C189" s="3" t="s">
        <v>66</v>
      </c>
      <c r="D189" s="3" t="s">
        <v>147</v>
      </c>
      <c r="E189" s="3">
        <v>10.6</v>
      </c>
    </row>
    <row r="190" spans="1:5" x14ac:dyDescent="0.2">
      <c r="A190" s="2" t="s">
        <v>4</v>
      </c>
      <c r="B190" s="2" t="s">
        <v>15</v>
      </c>
      <c r="C190" s="2" t="s">
        <v>66</v>
      </c>
      <c r="D190" s="2" t="s">
        <v>150</v>
      </c>
      <c r="E190" s="2">
        <v>10.1</v>
      </c>
    </row>
    <row r="191" spans="1:5" x14ac:dyDescent="0.2">
      <c r="A191" s="3" t="s">
        <v>4</v>
      </c>
      <c r="B191" s="3" t="s">
        <v>15</v>
      </c>
      <c r="C191" s="3" t="s">
        <v>66</v>
      </c>
      <c r="D191" s="3" t="s">
        <v>148</v>
      </c>
      <c r="E191" s="3">
        <v>7.6</v>
      </c>
    </row>
    <row r="192" spans="1:5" x14ac:dyDescent="0.2">
      <c r="A192" s="2" t="s">
        <v>4</v>
      </c>
      <c r="B192" s="2" t="s">
        <v>15</v>
      </c>
      <c r="C192" s="2" t="s">
        <v>67</v>
      </c>
      <c r="D192" s="2" t="s">
        <v>144</v>
      </c>
      <c r="E192" s="2">
        <v>18.8</v>
      </c>
    </row>
    <row r="193" spans="1:5" x14ac:dyDescent="0.2">
      <c r="A193" s="3" t="s">
        <v>4</v>
      </c>
      <c r="B193" s="3" t="s">
        <v>15</v>
      </c>
      <c r="C193" s="3" t="s">
        <v>67</v>
      </c>
      <c r="D193" s="3" t="s">
        <v>146</v>
      </c>
      <c r="E193" s="3">
        <v>14.1</v>
      </c>
    </row>
    <row r="194" spans="1:5" x14ac:dyDescent="0.2">
      <c r="A194" s="2" t="s">
        <v>4</v>
      </c>
      <c r="B194" s="2" t="s">
        <v>15</v>
      </c>
      <c r="C194" s="2" t="s">
        <v>67</v>
      </c>
      <c r="D194" s="2" t="s">
        <v>147</v>
      </c>
      <c r="E194" s="2">
        <v>11</v>
      </c>
    </row>
    <row r="195" spans="1:5" x14ac:dyDescent="0.2">
      <c r="A195" s="3" t="s">
        <v>4</v>
      </c>
      <c r="B195" s="3" t="s">
        <v>15</v>
      </c>
      <c r="C195" s="3" t="s">
        <v>67</v>
      </c>
      <c r="D195" s="3" t="s">
        <v>150</v>
      </c>
      <c r="E195" s="3">
        <v>9.8000000000000007</v>
      </c>
    </row>
    <row r="196" spans="1:5" x14ac:dyDescent="0.2">
      <c r="A196" s="2" t="s">
        <v>4</v>
      </c>
      <c r="B196" s="2" t="s">
        <v>15</v>
      </c>
      <c r="C196" s="2" t="s">
        <v>67</v>
      </c>
      <c r="D196" s="2" t="s">
        <v>148</v>
      </c>
      <c r="E196" s="2">
        <v>8.5</v>
      </c>
    </row>
    <row r="197" spans="1:5" x14ac:dyDescent="0.2">
      <c r="A197" s="3" t="s">
        <v>4</v>
      </c>
      <c r="B197" s="3" t="s">
        <v>15</v>
      </c>
      <c r="C197" s="3" t="s">
        <v>68</v>
      </c>
      <c r="D197" s="3" t="s">
        <v>144</v>
      </c>
      <c r="E197" s="3">
        <v>19</v>
      </c>
    </row>
    <row r="198" spans="1:5" x14ac:dyDescent="0.2">
      <c r="A198" s="2" t="s">
        <v>4</v>
      </c>
      <c r="B198" s="2" t="s">
        <v>15</v>
      </c>
      <c r="C198" s="2" t="s">
        <v>68</v>
      </c>
      <c r="D198" s="2" t="s">
        <v>146</v>
      </c>
      <c r="E198" s="2">
        <v>14</v>
      </c>
    </row>
    <row r="199" spans="1:5" x14ac:dyDescent="0.2">
      <c r="A199" s="3" t="s">
        <v>4</v>
      </c>
      <c r="B199" s="3" t="s">
        <v>15</v>
      </c>
      <c r="C199" s="3" t="s">
        <v>68</v>
      </c>
      <c r="D199" s="3" t="s">
        <v>147</v>
      </c>
      <c r="E199" s="3">
        <v>11.1</v>
      </c>
    </row>
    <row r="200" spans="1:5" x14ac:dyDescent="0.2">
      <c r="A200" s="2" t="s">
        <v>4</v>
      </c>
      <c r="B200" s="2" t="s">
        <v>15</v>
      </c>
      <c r="C200" s="2" t="s">
        <v>68</v>
      </c>
      <c r="D200" s="2" t="s">
        <v>150</v>
      </c>
      <c r="E200" s="2">
        <v>9.6</v>
      </c>
    </row>
    <row r="201" spans="1:5" x14ac:dyDescent="0.2">
      <c r="A201" s="3" t="s">
        <v>4</v>
      </c>
      <c r="B201" s="3" t="s">
        <v>15</v>
      </c>
      <c r="C201" s="3" t="s">
        <v>68</v>
      </c>
      <c r="D201" s="3" t="s">
        <v>148</v>
      </c>
      <c r="E201" s="3">
        <v>8.1999999999999993</v>
      </c>
    </row>
    <row r="202" spans="1:5" x14ac:dyDescent="0.2">
      <c r="A202" s="2" t="s">
        <v>4</v>
      </c>
      <c r="B202" s="2" t="s">
        <v>15</v>
      </c>
      <c r="C202" s="2" t="s">
        <v>69</v>
      </c>
      <c r="D202" s="2" t="s">
        <v>144</v>
      </c>
      <c r="E202" s="2">
        <v>19.399999999999999</v>
      </c>
    </row>
    <row r="203" spans="1:5" x14ac:dyDescent="0.2">
      <c r="A203" s="3" t="s">
        <v>4</v>
      </c>
      <c r="B203" s="3" t="s">
        <v>15</v>
      </c>
      <c r="C203" s="3" t="s">
        <v>69</v>
      </c>
      <c r="D203" s="3" t="s">
        <v>146</v>
      </c>
      <c r="E203" s="3">
        <v>14.2</v>
      </c>
    </row>
    <row r="204" spans="1:5" x14ac:dyDescent="0.2">
      <c r="A204" s="2" t="s">
        <v>4</v>
      </c>
      <c r="B204" s="2" t="s">
        <v>15</v>
      </c>
      <c r="C204" s="2" t="s">
        <v>69</v>
      </c>
      <c r="D204" s="2" t="s">
        <v>147</v>
      </c>
      <c r="E204" s="2">
        <v>11.3</v>
      </c>
    </row>
    <row r="205" spans="1:5" x14ac:dyDescent="0.2">
      <c r="A205" s="3" t="s">
        <v>4</v>
      </c>
      <c r="B205" s="3" t="s">
        <v>15</v>
      </c>
      <c r="C205" s="3" t="s">
        <v>69</v>
      </c>
      <c r="D205" s="3" t="s">
        <v>150</v>
      </c>
      <c r="E205" s="3">
        <v>10.199999999999999</v>
      </c>
    </row>
    <row r="206" spans="1:5" x14ac:dyDescent="0.2">
      <c r="A206" s="2" t="s">
        <v>4</v>
      </c>
      <c r="B206" s="2" t="s">
        <v>15</v>
      </c>
      <c r="C206" s="2" t="s">
        <v>69</v>
      </c>
      <c r="D206" s="2" t="s">
        <v>148</v>
      </c>
      <c r="E206" s="2">
        <v>7.7</v>
      </c>
    </row>
    <row r="207" spans="1:5" x14ac:dyDescent="0.2">
      <c r="A207" s="3" t="s">
        <v>4</v>
      </c>
      <c r="B207" s="3" t="s">
        <v>15</v>
      </c>
      <c r="C207" s="3" t="s">
        <v>70</v>
      </c>
      <c r="D207" s="3" t="s">
        <v>144</v>
      </c>
      <c r="E207" s="3">
        <v>19</v>
      </c>
    </row>
    <row r="208" spans="1:5" x14ac:dyDescent="0.2">
      <c r="A208" s="2" t="s">
        <v>4</v>
      </c>
      <c r="B208" s="2" t="s">
        <v>15</v>
      </c>
      <c r="C208" s="2" t="s">
        <v>70</v>
      </c>
      <c r="D208" s="2" t="s">
        <v>146</v>
      </c>
      <c r="E208" s="2">
        <v>13.7</v>
      </c>
    </row>
    <row r="209" spans="1:5" x14ac:dyDescent="0.2">
      <c r="A209" s="3" t="s">
        <v>4</v>
      </c>
      <c r="B209" s="3" t="s">
        <v>15</v>
      </c>
      <c r="C209" s="3" t="s">
        <v>70</v>
      </c>
      <c r="D209" s="3" t="s">
        <v>147</v>
      </c>
      <c r="E209" s="3">
        <v>10.8</v>
      </c>
    </row>
    <row r="210" spans="1:5" x14ac:dyDescent="0.2">
      <c r="A210" s="2" t="s">
        <v>4</v>
      </c>
      <c r="B210" s="2" t="s">
        <v>15</v>
      </c>
      <c r="C210" s="2" t="s">
        <v>70</v>
      </c>
      <c r="D210" s="2" t="s">
        <v>150</v>
      </c>
      <c r="E210" s="2">
        <v>10</v>
      </c>
    </row>
    <row r="211" spans="1:5" x14ac:dyDescent="0.2">
      <c r="A211" s="3" t="s">
        <v>4</v>
      </c>
      <c r="B211" s="3" t="s">
        <v>15</v>
      </c>
      <c r="C211" s="3" t="s">
        <v>70</v>
      </c>
      <c r="D211" s="3" t="s">
        <v>148</v>
      </c>
      <c r="E211" s="3">
        <v>7.9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86A54"/>
  </sheetPr>
  <dimension ref="A1:F176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23" customWidth="1"/>
    <col min="5" max="5" width="10" customWidth="1"/>
    <col min="6" max="6" width="11" customWidth="1"/>
  </cols>
  <sheetData>
    <row r="1" spans="1:6" ht="28" x14ac:dyDescent="0.2">
      <c r="A1" s="4" t="s">
        <v>237</v>
      </c>
      <c r="B1" s="4" t="s">
        <v>238</v>
      </c>
      <c r="C1" s="4" t="s">
        <v>63</v>
      </c>
      <c r="D1" s="4" t="s">
        <v>316</v>
      </c>
      <c r="E1" s="4" t="s">
        <v>273</v>
      </c>
      <c r="F1" s="4" t="s">
        <v>274</v>
      </c>
    </row>
    <row r="2" spans="1:6" x14ac:dyDescent="0.2">
      <c r="A2" s="5" t="s">
        <v>0</v>
      </c>
      <c r="B2" s="2" t="s">
        <v>15</v>
      </c>
      <c r="C2" s="2" t="s">
        <v>64</v>
      </c>
      <c r="D2" s="2" t="s">
        <v>55</v>
      </c>
      <c r="E2" s="2" t="s">
        <v>39</v>
      </c>
      <c r="F2" s="2">
        <v>92</v>
      </c>
    </row>
    <row r="3" spans="1:6" x14ac:dyDescent="0.2">
      <c r="A3" s="6" t="s">
        <v>0</v>
      </c>
      <c r="B3" s="3" t="s">
        <v>15</v>
      </c>
      <c r="C3" s="3" t="s">
        <v>65</v>
      </c>
      <c r="D3" s="3" t="s">
        <v>55</v>
      </c>
      <c r="E3" s="3" t="s">
        <v>39</v>
      </c>
      <c r="F3" s="3">
        <v>92.5</v>
      </c>
    </row>
    <row r="4" spans="1:6" x14ac:dyDescent="0.2">
      <c r="A4" s="5" t="s">
        <v>0</v>
      </c>
      <c r="B4" s="2" t="s">
        <v>15</v>
      </c>
      <c r="C4" s="2" t="s">
        <v>66</v>
      </c>
      <c r="D4" s="2" t="s">
        <v>55</v>
      </c>
      <c r="E4" s="2" t="s">
        <v>39</v>
      </c>
      <c r="F4" s="2">
        <v>92.7</v>
      </c>
    </row>
    <row r="5" spans="1:6" x14ac:dyDescent="0.2">
      <c r="A5" s="6" t="s">
        <v>0</v>
      </c>
      <c r="B5" s="3" t="s">
        <v>15</v>
      </c>
      <c r="C5" s="3" t="s">
        <v>67</v>
      </c>
      <c r="D5" s="3" t="s">
        <v>55</v>
      </c>
      <c r="E5" s="3" t="s">
        <v>39</v>
      </c>
      <c r="F5" s="3">
        <v>92.5</v>
      </c>
    </row>
    <row r="6" spans="1:6" x14ac:dyDescent="0.2">
      <c r="A6" s="5" t="s">
        <v>0</v>
      </c>
      <c r="B6" s="2" t="s">
        <v>15</v>
      </c>
      <c r="C6" s="2" t="s">
        <v>68</v>
      </c>
      <c r="D6" s="2" t="s">
        <v>55</v>
      </c>
      <c r="E6" s="2" t="s">
        <v>39</v>
      </c>
      <c r="F6" s="2">
        <v>93.2</v>
      </c>
    </row>
    <row r="7" spans="1:6" x14ac:dyDescent="0.2">
      <c r="A7" s="6" t="s">
        <v>0</v>
      </c>
      <c r="B7" s="3" t="s">
        <v>15</v>
      </c>
      <c r="C7" s="3" t="s">
        <v>69</v>
      </c>
      <c r="D7" s="3" t="s">
        <v>55</v>
      </c>
      <c r="E7" s="3" t="s">
        <v>39</v>
      </c>
      <c r="F7" s="3">
        <v>93.1</v>
      </c>
    </row>
    <row r="8" spans="1:6" x14ac:dyDescent="0.2">
      <c r="A8" s="5" t="s">
        <v>0</v>
      </c>
      <c r="B8" s="2" t="s">
        <v>15</v>
      </c>
      <c r="C8" s="2" t="s">
        <v>70</v>
      </c>
      <c r="D8" s="2" t="s">
        <v>55</v>
      </c>
      <c r="E8" s="2" t="s">
        <v>39</v>
      </c>
      <c r="F8" s="2">
        <v>93.3</v>
      </c>
    </row>
    <row r="9" spans="1:6" x14ac:dyDescent="0.2">
      <c r="A9" s="6" t="s">
        <v>0</v>
      </c>
      <c r="B9" s="3" t="s">
        <v>15</v>
      </c>
      <c r="C9" s="3" t="s">
        <v>64</v>
      </c>
      <c r="D9" s="3" t="s">
        <v>167</v>
      </c>
      <c r="E9" s="3" t="s">
        <v>39</v>
      </c>
      <c r="F9" s="3">
        <v>88.1</v>
      </c>
    </row>
    <row r="10" spans="1:6" x14ac:dyDescent="0.2">
      <c r="A10" s="5" t="s">
        <v>0</v>
      </c>
      <c r="B10" s="2" t="s">
        <v>15</v>
      </c>
      <c r="C10" s="2" t="s">
        <v>65</v>
      </c>
      <c r="D10" s="2" t="s">
        <v>167</v>
      </c>
      <c r="E10" s="2" t="s">
        <v>39</v>
      </c>
      <c r="F10" s="2">
        <v>88.6</v>
      </c>
    </row>
    <row r="11" spans="1:6" x14ac:dyDescent="0.2">
      <c r="A11" s="6" t="s">
        <v>0</v>
      </c>
      <c r="B11" s="3" t="s">
        <v>15</v>
      </c>
      <c r="C11" s="3" t="s">
        <v>66</v>
      </c>
      <c r="D11" s="3" t="s">
        <v>167</v>
      </c>
      <c r="E11" s="3" t="s">
        <v>39</v>
      </c>
      <c r="F11" s="3">
        <v>88.5</v>
      </c>
    </row>
    <row r="12" spans="1:6" x14ac:dyDescent="0.2">
      <c r="A12" s="5" t="s">
        <v>0</v>
      </c>
      <c r="B12" s="2" t="s">
        <v>15</v>
      </c>
      <c r="C12" s="2" t="s">
        <v>67</v>
      </c>
      <c r="D12" s="2" t="s">
        <v>167</v>
      </c>
      <c r="E12" s="2" t="s">
        <v>39</v>
      </c>
      <c r="F12" s="2">
        <v>88.3</v>
      </c>
    </row>
    <row r="13" spans="1:6" x14ac:dyDescent="0.2">
      <c r="A13" s="6" t="s">
        <v>0</v>
      </c>
      <c r="B13" s="3" t="s">
        <v>15</v>
      </c>
      <c r="C13" s="3" t="s">
        <v>68</v>
      </c>
      <c r="D13" s="3" t="s">
        <v>167</v>
      </c>
      <c r="E13" s="3" t="s">
        <v>39</v>
      </c>
      <c r="F13" s="3">
        <v>88.4</v>
      </c>
    </row>
    <row r="14" spans="1:6" x14ac:dyDescent="0.2">
      <c r="A14" s="5" t="s">
        <v>0</v>
      </c>
      <c r="B14" s="2" t="s">
        <v>15</v>
      </c>
      <c r="C14" s="2" t="s">
        <v>69</v>
      </c>
      <c r="D14" s="2" t="s">
        <v>167</v>
      </c>
      <c r="E14" s="2" t="s">
        <v>39</v>
      </c>
      <c r="F14" s="2">
        <v>88.9</v>
      </c>
    </row>
    <row r="15" spans="1:6" x14ac:dyDescent="0.2">
      <c r="A15" s="6" t="s">
        <v>0</v>
      </c>
      <c r="B15" s="3" t="s">
        <v>15</v>
      </c>
      <c r="C15" s="3" t="s">
        <v>70</v>
      </c>
      <c r="D15" s="3" t="s">
        <v>167</v>
      </c>
      <c r="E15" s="3" t="s">
        <v>39</v>
      </c>
      <c r="F15" s="3">
        <v>89</v>
      </c>
    </row>
    <row r="16" spans="1:6" x14ac:dyDescent="0.2">
      <c r="A16" s="5" t="s">
        <v>0</v>
      </c>
      <c r="B16" s="2" t="s">
        <v>15</v>
      </c>
      <c r="C16" s="2" t="s">
        <v>64</v>
      </c>
      <c r="D16" s="2" t="s">
        <v>168</v>
      </c>
      <c r="E16" s="2" t="s">
        <v>39</v>
      </c>
      <c r="F16" s="2">
        <v>84.8</v>
      </c>
    </row>
    <row r="17" spans="1:6" x14ac:dyDescent="0.2">
      <c r="A17" s="6" t="s">
        <v>0</v>
      </c>
      <c r="B17" s="3" t="s">
        <v>15</v>
      </c>
      <c r="C17" s="3" t="s">
        <v>65</v>
      </c>
      <c r="D17" s="3" t="s">
        <v>168</v>
      </c>
      <c r="E17" s="3" t="s">
        <v>39</v>
      </c>
      <c r="F17" s="3">
        <v>84.8</v>
      </c>
    </row>
    <row r="18" spans="1:6" x14ac:dyDescent="0.2">
      <c r="A18" s="5" t="s">
        <v>0</v>
      </c>
      <c r="B18" s="2" t="s">
        <v>15</v>
      </c>
      <c r="C18" s="2" t="s">
        <v>66</v>
      </c>
      <c r="D18" s="2" t="s">
        <v>168</v>
      </c>
      <c r="E18" s="2" t="s">
        <v>39</v>
      </c>
      <c r="F18" s="2">
        <v>85.4</v>
      </c>
    </row>
    <row r="19" spans="1:6" x14ac:dyDescent="0.2">
      <c r="A19" s="6" t="s">
        <v>0</v>
      </c>
      <c r="B19" s="3" t="s">
        <v>15</v>
      </c>
      <c r="C19" s="3" t="s">
        <v>67</v>
      </c>
      <c r="D19" s="3" t="s">
        <v>168</v>
      </c>
      <c r="E19" s="3" t="s">
        <v>39</v>
      </c>
      <c r="F19" s="3">
        <v>85.4</v>
      </c>
    </row>
    <row r="20" spans="1:6" x14ac:dyDescent="0.2">
      <c r="A20" s="5" t="s">
        <v>0</v>
      </c>
      <c r="B20" s="2" t="s">
        <v>15</v>
      </c>
      <c r="C20" s="2" t="s">
        <v>68</v>
      </c>
      <c r="D20" s="2" t="s">
        <v>168</v>
      </c>
      <c r="E20" s="2" t="s">
        <v>39</v>
      </c>
      <c r="F20" s="2">
        <v>85.8</v>
      </c>
    </row>
    <row r="21" spans="1:6" x14ac:dyDescent="0.2">
      <c r="A21" s="6" t="s">
        <v>0</v>
      </c>
      <c r="B21" s="3" t="s">
        <v>15</v>
      </c>
      <c r="C21" s="3" t="s">
        <v>69</v>
      </c>
      <c r="D21" s="3" t="s">
        <v>168</v>
      </c>
      <c r="E21" s="3" t="s">
        <v>39</v>
      </c>
      <c r="F21" s="3">
        <v>85.6</v>
      </c>
    </row>
    <row r="22" spans="1:6" x14ac:dyDescent="0.2">
      <c r="A22" s="5" t="s">
        <v>0</v>
      </c>
      <c r="B22" s="2" t="s">
        <v>15</v>
      </c>
      <c r="C22" s="2" t="s">
        <v>70</v>
      </c>
      <c r="D22" s="2" t="s">
        <v>168</v>
      </c>
      <c r="E22" s="2" t="s">
        <v>39</v>
      </c>
      <c r="F22" s="2">
        <v>86.5</v>
      </c>
    </row>
    <row r="23" spans="1:6" x14ac:dyDescent="0.2">
      <c r="A23" s="6" t="s">
        <v>0</v>
      </c>
      <c r="B23" s="3" t="s">
        <v>15</v>
      </c>
      <c r="C23" s="3" t="s">
        <v>64</v>
      </c>
      <c r="D23" s="3" t="s">
        <v>169</v>
      </c>
      <c r="E23" s="3" t="s">
        <v>39</v>
      </c>
      <c r="F23" s="3">
        <v>78.599999999999994</v>
      </c>
    </row>
    <row r="24" spans="1:6" x14ac:dyDescent="0.2">
      <c r="A24" s="5" t="s">
        <v>0</v>
      </c>
      <c r="B24" s="2" t="s">
        <v>15</v>
      </c>
      <c r="C24" s="2" t="s">
        <v>65</v>
      </c>
      <c r="D24" s="2" t="s">
        <v>169</v>
      </c>
      <c r="E24" s="2" t="s">
        <v>39</v>
      </c>
      <c r="F24" s="2">
        <v>79.599999999999994</v>
      </c>
    </row>
    <row r="25" spans="1:6" x14ac:dyDescent="0.2">
      <c r="A25" s="6" t="s">
        <v>0</v>
      </c>
      <c r="B25" s="3" t="s">
        <v>15</v>
      </c>
      <c r="C25" s="3" t="s">
        <v>66</v>
      </c>
      <c r="D25" s="3" t="s">
        <v>169</v>
      </c>
      <c r="E25" s="3" t="s">
        <v>39</v>
      </c>
      <c r="F25" s="3">
        <v>79.8</v>
      </c>
    </row>
    <row r="26" spans="1:6" x14ac:dyDescent="0.2">
      <c r="A26" s="5" t="s">
        <v>0</v>
      </c>
      <c r="B26" s="2" t="s">
        <v>15</v>
      </c>
      <c r="C26" s="2" t="s">
        <v>67</v>
      </c>
      <c r="D26" s="2" t="s">
        <v>169</v>
      </c>
      <c r="E26" s="2" t="s">
        <v>39</v>
      </c>
      <c r="F26" s="2">
        <v>79.7</v>
      </c>
    </row>
    <row r="27" spans="1:6" x14ac:dyDescent="0.2">
      <c r="A27" s="6" t="s">
        <v>0</v>
      </c>
      <c r="B27" s="3" t="s">
        <v>15</v>
      </c>
      <c r="C27" s="3" t="s">
        <v>68</v>
      </c>
      <c r="D27" s="3" t="s">
        <v>169</v>
      </c>
      <c r="E27" s="3" t="s">
        <v>39</v>
      </c>
      <c r="F27" s="3">
        <v>79.8</v>
      </c>
    </row>
    <row r="28" spans="1:6" x14ac:dyDescent="0.2">
      <c r="A28" s="5" t="s">
        <v>0</v>
      </c>
      <c r="B28" s="2" t="s">
        <v>15</v>
      </c>
      <c r="C28" s="2" t="s">
        <v>69</v>
      </c>
      <c r="D28" s="2" t="s">
        <v>169</v>
      </c>
      <c r="E28" s="2" t="s">
        <v>39</v>
      </c>
      <c r="F28" s="2">
        <v>80</v>
      </c>
    </row>
    <row r="29" spans="1:6" x14ac:dyDescent="0.2">
      <c r="A29" s="6" t="s">
        <v>0</v>
      </c>
      <c r="B29" s="3" t="s">
        <v>15</v>
      </c>
      <c r="C29" s="3" t="s">
        <v>70</v>
      </c>
      <c r="D29" s="3" t="s">
        <v>169</v>
      </c>
      <c r="E29" s="3" t="s">
        <v>39</v>
      </c>
      <c r="F29" s="3">
        <v>80.3</v>
      </c>
    </row>
    <row r="30" spans="1:6" x14ac:dyDescent="0.2">
      <c r="A30" s="5" t="s">
        <v>0</v>
      </c>
      <c r="B30" s="2" t="s">
        <v>15</v>
      </c>
      <c r="C30" s="2" t="s">
        <v>64</v>
      </c>
      <c r="D30" s="2" t="s">
        <v>170</v>
      </c>
      <c r="E30" s="2" t="s">
        <v>39</v>
      </c>
      <c r="F30" s="2">
        <v>76.3</v>
      </c>
    </row>
    <row r="31" spans="1:6" x14ac:dyDescent="0.2">
      <c r="A31" s="6" t="s">
        <v>0</v>
      </c>
      <c r="B31" s="3" t="s">
        <v>15</v>
      </c>
      <c r="C31" s="3" t="s">
        <v>65</v>
      </c>
      <c r="D31" s="3" t="s">
        <v>170</v>
      </c>
      <c r="E31" s="3" t="s">
        <v>39</v>
      </c>
      <c r="F31" s="3">
        <v>76.599999999999994</v>
      </c>
    </row>
    <row r="32" spans="1:6" x14ac:dyDescent="0.2">
      <c r="A32" s="5" t="s">
        <v>0</v>
      </c>
      <c r="B32" s="2" t="s">
        <v>15</v>
      </c>
      <c r="C32" s="2" t="s">
        <v>66</v>
      </c>
      <c r="D32" s="2" t="s">
        <v>170</v>
      </c>
      <c r="E32" s="2" t="s">
        <v>39</v>
      </c>
      <c r="F32" s="2">
        <v>76.3</v>
      </c>
    </row>
    <row r="33" spans="1:6" x14ac:dyDescent="0.2">
      <c r="A33" s="6" t="s">
        <v>0</v>
      </c>
      <c r="B33" s="3" t="s">
        <v>15</v>
      </c>
      <c r="C33" s="3" t="s">
        <v>67</v>
      </c>
      <c r="D33" s="3" t="s">
        <v>170</v>
      </c>
      <c r="E33" s="3" t="s">
        <v>39</v>
      </c>
      <c r="F33" s="3">
        <v>76.900000000000006</v>
      </c>
    </row>
    <row r="34" spans="1:6" x14ac:dyDescent="0.2">
      <c r="A34" s="5" t="s">
        <v>0</v>
      </c>
      <c r="B34" s="2" t="s">
        <v>15</v>
      </c>
      <c r="C34" s="2" t="s">
        <v>68</v>
      </c>
      <c r="D34" s="2" t="s">
        <v>170</v>
      </c>
      <c r="E34" s="2" t="s">
        <v>39</v>
      </c>
      <c r="F34" s="2">
        <v>77</v>
      </c>
    </row>
    <row r="35" spans="1:6" x14ac:dyDescent="0.2">
      <c r="A35" s="6" t="s">
        <v>0</v>
      </c>
      <c r="B35" s="3" t="s">
        <v>15</v>
      </c>
      <c r="C35" s="3" t="s">
        <v>69</v>
      </c>
      <c r="D35" s="3" t="s">
        <v>170</v>
      </c>
      <c r="E35" s="3" t="s">
        <v>39</v>
      </c>
      <c r="F35" s="3">
        <v>76.8</v>
      </c>
    </row>
    <row r="36" spans="1:6" x14ac:dyDescent="0.2">
      <c r="A36" s="5" t="s">
        <v>0</v>
      </c>
      <c r="B36" s="2" t="s">
        <v>15</v>
      </c>
      <c r="C36" s="2" t="s">
        <v>70</v>
      </c>
      <c r="D36" s="2" t="s">
        <v>170</v>
      </c>
      <c r="E36" s="2" t="s">
        <v>39</v>
      </c>
      <c r="F36" s="2">
        <v>77.2</v>
      </c>
    </row>
    <row r="37" spans="1:6" x14ac:dyDescent="0.2">
      <c r="A37" s="3" t="s">
        <v>1</v>
      </c>
      <c r="B37" s="3" t="s">
        <v>15</v>
      </c>
      <c r="C37" s="3" t="s">
        <v>64</v>
      </c>
      <c r="D37" s="3" t="s">
        <v>171</v>
      </c>
      <c r="E37" s="3" t="s">
        <v>39</v>
      </c>
      <c r="F37" s="3">
        <v>85.7</v>
      </c>
    </row>
    <row r="38" spans="1:6" x14ac:dyDescent="0.2">
      <c r="A38" s="2" t="s">
        <v>1</v>
      </c>
      <c r="B38" s="2" t="s">
        <v>15</v>
      </c>
      <c r="C38" s="2" t="s">
        <v>65</v>
      </c>
      <c r="D38" s="2" t="s">
        <v>171</v>
      </c>
      <c r="E38" s="2" t="s">
        <v>39</v>
      </c>
      <c r="F38" s="2">
        <v>85.8</v>
      </c>
    </row>
    <row r="39" spans="1:6" x14ac:dyDescent="0.2">
      <c r="A39" s="3" t="s">
        <v>1</v>
      </c>
      <c r="B39" s="3" t="s">
        <v>15</v>
      </c>
      <c r="C39" s="3" t="s">
        <v>66</v>
      </c>
      <c r="D39" s="3" t="s">
        <v>171</v>
      </c>
      <c r="E39" s="3" t="s">
        <v>39</v>
      </c>
      <c r="F39" s="3">
        <v>86</v>
      </c>
    </row>
    <row r="40" spans="1:6" x14ac:dyDescent="0.2">
      <c r="A40" s="2" t="s">
        <v>1</v>
      </c>
      <c r="B40" s="2" t="s">
        <v>15</v>
      </c>
      <c r="C40" s="2" t="s">
        <v>67</v>
      </c>
      <c r="D40" s="2" t="s">
        <v>171</v>
      </c>
      <c r="E40" s="2" t="s">
        <v>39</v>
      </c>
      <c r="F40" s="2">
        <v>87</v>
      </c>
    </row>
    <row r="41" spans="1:6" x14ac:dyDescent="0.2">
      <c r="A41" s="3" t="s">
        <v>1</v>
      </c>
      <c r="B41" s="3" t="s">
        <v>15</v>
      </c>
      <c r="C41" s="3" t="s">
        <v>68</v>
      </c>
      <c r="D41" s="3" t="s">
        <v>171</v>
      </c>
      <c r="E41" s="3" t="s">
        <v>39</v>
      </c>
      <c r="F41" s="3">
        <v>86.6</v>
      </c>
    </row>
    <row r="42" spans="1:6" x14ac:dyDescent="0.2">
      <c r="A42" s="2" t="s">
        <v>1</v>
      </c>
      <c r="B42" s="2" t="s">
        <v>15</v>
      </c>
      <c r="C42" s="2" t="s">
        <v>69</v>
      </c>
      <c r="D42" s="2" t="s">
        <v>171</v>
      </c>
      <c r="E42" s="2" t="s">
        <v>39</v>
      </c>
      <c r="F42" s="2">
        <v>87.2</v>
      </c>
    </row>
    <row r="43" spans="1:6" x14ac:dyDescent="0.2">
      <c r="A43" s="3" t="s">
        <v>1</v>
      </c>
      <c r="B43" s="3" t="s">
        <v>15</v>
      </c>
      <c r="C43" s="3" t="s">
        <v>70</v>
      </c>
      <c r="D43" s="3" t="s">
        <v>171</v>
      </c>
      <c r="E43" s="3" t="s">
        <v>39</v>
      </c>
      <c r="F43" s="3">
        <v>87.2</v>
      </c>
    </row>
    <row r="44" spans="1:6" x14ac:dyDescent="0.2">
      <c r="A44" s="2" t="s">
        <v>1</v>
      </c>
      <c r="B44" s="2" t="s">
        <v>15</v>
      </c>
      <c r="C44" s="2" t="s">
        <v>64</v>
      </c>
      <c r="D44" s="2" t="s">
        <v>55</v>
      </c>
      <c r="E44" s="2" t="s">
        <v>39</v>
      </c>
      <c r="F44" s="2">
        <v>81.7</v>
      </c>
    </row>
    <row r="45" spans="1:6" x14ac:dyDescent="0.2">
      <c r="A45" s="3" t="s">
        <v>1</v>
      </c>
      <c r="B45" s="3" t="s">
        <v>15</v>
      </c>
      <c r="C45" s="3" t="s">
        <v>65</v>
      </c>
      <c r="D45" s="3" t="s">
        <v>55</v>
      </c>
      <c r="E45" s="3" t="s">
        <v>39</v>
      </c>
      <c r="F45" s="3">
        <v>81.900000000000006</v>
      </c>
    </row>
    <row r="46" spans="1:6" x14ac:dyDescent="0.2">
      <c r="A46" s="2" t="s">
        <v>1</v>
      </c>
      <c r="B46" s="2" t="s">
        <v>15</v>
      </c>
      <c r="C46" s="2" t="s">
        <v>66</v>
      </c>
      <c r="D46" s="2" t="s">
        <v>55</v>
      </c>
      <c r="E46" s="2" t="s">
        <v>39</v>
      </c>
      <c r="F46" s="2">
        <v>82.3</v>
      </c>
    </row>
    <row r="47" spans="1:6" x14ac:dyDescent="0.2">
      <c r="A47" s="3" t="s">
        <v>1</v>
      </c>
      <c r="B47" s="3" t="s">
        <v>15</v>
      </c>
      <c r="C47" s="3" t="s">
        <v>67</v>
      </c>
      <c r="D47" s="3" t="s">
        <v>55</v>
      </c>
      <c r="E47" s="3" t="s">
        <v>39</v>
      </c>
      <c r="F47" s="3">
        <v>82.5</v>
      </c>
    </row>
    <row r="48" spans="1:6" x14ac:dyDescent="0.2">
      <c r="A48" s="2" t="s">
        <v>1</v>
      </c>
      <c r="B48" s="2" t="s">
        <v>15</v>
      </c>
      <c r="C48" s="2" t="s">
        <v>68</v>
      </c>
      <c r="D48" s="2" t="s">
        <v>55</v>
      </c>
      <c r="E48" s="2" t="s">
        <v>39</v>
      </c>
      <c r="F48" s="2">
        <v>82.8</v>
      </c>
    </row>
    <row r="49" spans="1:6" x14ac:dyDescent="0.2">
      <c r="A49" s="3" t="s">
        <v>1</v>
      </c>
      <c r="B49" s="3" t="s">
        <v>15</v>
      </c>
      <c r="C49" s="3" t="s">
        <v>69</v>
      </c>
      <c r="D49" s="3" t="s">
        <v>55</v>
      </c>
      <c r="E49" s="3" t="s">
        <v>39</v>
      </c>
      <c r="F49" s="3">
        <v>82.7</v>
      </c>
    </row>
    <row r="50" spans="1:6" x14ac:dyDescent="0.2">
      <c r="A50" s="2" t="s">
        <v>1</v>
      </c>
      <c r="B50" s="2" t="s">
        <v>15</v>
      </c>
      <c r="C50" s="2" t="s">
        <v>70</v>
      </c>
      <c r="D50" s="2" t="s">
        <v>55</v>
      </c>
      <c r="E50" s="2" t="s">
        <v>39</v>
      </c>
      <c r="F50" s="2">
        <v>83.1</v>
      </c>
    </row>
    <row r="51" spans="1:6" x14ac:dyDescent="0.2">
      <c r="A51" s="3" t="s">
        <v>1</v>
      </c>
      <c r="B51" s="3" t="s">
        <v>15</v>
      </c>
      <c r="C51" s="3" t="s">
        <v>64</v>
      </c>
      <c r="D51" s="3" t="s">
        <v>172</v>
      </c>
      <c r="E51" s="3" t="s">
        <v>39</v>
      </c>
      <c r="F51" s="3">
        <v>73.8</v>
      </c>
    </row>
    <row r="52" spans="1:6" x14ac:dyDescent="0.2">
      <c r="A52" s="2" t="s">
        <v>1</v>
      </c>
      <c r="B52" s="2" t="s">
        <v>15</v>
      </c>
      <c r="C52" s="2" t="s">
        <v>65</v>
      </c>
      <c r="D52" s="2" t="s">
        <v>172</v>
      </c>
      <c r="E52" s="2" t="s">
        <v>39</v>
      </c>
      <c r="F52" s="2">
        <v>74.099999999999994</v>
      </c>
    </row>
    <row r="53" spans="1:6" x14ac:dyDescent="0.2">
      <c r="A53" s="3" t="s">
        <v>1</v>
      </c>
      <c r="B53" s="3" t="s">
        <v>15</v>
      </c>
      <c r="C53" s="3" t="s">
        <v>66</v>
      </c>
      <c r="D53" s="3" t="s">
        <v>172</v>
      </c>
      <c r="E53" s="3" t="s">
        <v>39</v>
      </c>
      <c r="F53" s="3">
        <v>74.2</v>
      </c>
    </row>
    <row r="54" spans="1:6" x14ac:dyDescent="0.2">
      <c r="A54" s="2" t="s">
        <v>1</v>
      </c>
      <c r="B54" s="2" t="s">
        <v>15</v>
      </c>
      <c r="C54" s="2" t="s">
        <v>67</v>
      </c>
      <c r="D54" s="2" t="s">
        <v>172</v>
      </c>
      <c r="E54" s="2" t="s">
        <v>39</v>
      </c>
      <c r="F54" s="2">
        <v>74.7</v>
      </c>
    </row>
    <row r="55" spans="1:6" x14ac:dyDescent="0.2">
      <c r="A55" s="3" t="s">
        <v>1</v>
      </c>
      <c r="B55" s="3" t="s">
        <v>15</v>
      </c>
      <c r="C55" s="3" t="s">
        <v>68</v>
      </c>
      <c r="D55" s="3" t="s">
        <v>172</v>
      </c>
      <c r="E55" s="3" t="s">
        <v>39</v>
      </c>
      <c r="F55" s="3">
        <v>75.099999999999994</v>
      </c>
    </row>
    <row r="56" spans="1:6" x14ac:dyDescent="0.2">
      <c r="A56" s="2" t="s">
        <v>1</v>
      </c>
      <c r="B56" s="2" t="s">
        <v>15</v>
      </c>
      <c r="C56" s="2" t="s">
        <v>69</v>
      </c>
      <c r="D56" s="2" t="s">
        <v>172</v>
      </c>
      <c r="E56" s="2" t="s">
        <v>39</v>
      </c>
      <c r="F56" s="2">
        <v>75.099999999999994</v>
      </c>
    </row>
    <row r="57" spans="1:6" x14ac:dyDescent="0.2">
      <c r="A57" s="3" t="s">
        <v>1</v>
      </c>
      <c r="B57" s="3" t="s">
        <v>15</v>
      </c>
      <c r="C57" s="3" t="s">
        <v>70</v>
      </c>
      <c r="D57" s="3" t="s">
        <v>172</v>
      </c>
      <c r="E57" s="3" t="s">
        <v>39</v>
      </c>
      <c r="F57" s="3">
        <v>74.8</v>
      </c>
    </row>
    <row r="58" spans="1:6" x14ac:dyDescent="0.2">
      <c r="A58" s="2" t="s">
        <v>1</v>
      </c>
      <c r="B58" s="2" t="s">
        <v>15</v>
      </c>
      <c r="C58" s="2" t="s">
        <v>64</v>
      </c>
      <c r="D58" s="2" t="s">
        <v>173</v>
      </c>
      <c r="E58" s="2" t="s">
        <v>39</v>
      </c>
      <c r="F58" s="2">
        <v>70.599999999999994</v>
      </c>
    </row>
    <row r="59" spans="1:6" x14ac:dyDescent="0.2">
      <c r="A59" s="3" t="s">
        <v>1</v>
      </c>
      <c r="B59" s="3" t="s">
        <v>15</v>
      </c>
      <c r="C59" s="3" t="s">
        <v>65</v>
      </c>
      <c r="D59" s="3" t="s">
        <v>173</v>
      </c>
      <c r="E59" s="3" t="s">
        <v>39</v>
      </c>
      <c r="F59" s="3">
        <v>71.400000000000006</v>
      </c>
    </row>
    <row r="60" spans="1:6" x14ac:dyDescent="0.2">
      <c r="A60" s="2" t="s">
        <v>1</v>
      </c>
      <c r="B60" s="2" t="s">
        <v>15</v>
      </c>
      <c r="C60" s="2" t="s">
        <v>66</v>
      </c>
      <c r="D60" s="2" t="s">
        <v>173</v>
      </c>
      <c r="E60" s="2" t="s">
        <v>39</v>
      </c>
      <c r="F60" s="2">
        <v>71.2</v>
      </c>
    </row>
    <row r="61" spans="1:6" x14ac:dyDescent="0.2">
      <c r="A61" s="3" t="s">
        <v>1</v>
      </c>
      <c r="B61" s="3" t="s">
        <v>15</v>
      </c>
      <c r="C61" s="3" t="s">
        <v>67</v>
      </c>
      <c r="D61" s="3" t="s">
        <v>173</v>
      </c>
      <c r="E61" s="3" t="s">
        <v>39</v>
      </c>
      <c r="F61" s="3">
        <v>71.8</v>
      </c>
    </row>
    <row r="62" spans="1:6" x14ac:dyDescent="0.2">
      <c r="A62" s="2" t="s">
        <v>1</v>
      </c>
      <c r="B62" s="2" t="s">
        <v>15</v>
      </c>
      <c r="C62" s="2" t="s">
        <v>68</v>
      </c>
      <c r="D62" s="2" t="s">
        <v>173</v>
      </c>
      <c r="E62" s="2" t="s">
        <v>39</v>
      </c>
      <c r="F62" s="2">
        <v>72</v>
      </c>
    </row>
    <row r="63" spans="1:6" x14ac:dyDescent="0.2">
      <c r="A63" s="3" t="s">
        <v>1</v>
      </c>
      <c r="B63" s="3" t="s">
        <v>15</v>
      </c>
      <c r="C63" s="3" t="s">
        <v>69</v>
      </c>
      <c r="D63" s="3" t="s">
        <v>173</v>
      </c>
      <c r="E63" s="3" t="s">
        <v>39</v>
      </c>
      <c r="F63" s="3">
        <v>72.400000000000006</v>
      </c>
    </row>
    <row r="64" spans="1:6" x14ac:dyDescent="0.2">
      <c r="A64" s="2" t="s">
        <v>1</v>
      </c>
      <c r="B64" s="2" t="s">
        <v>15</v>
      </c>
      <c r="C64" s="2" t="s">
        <v>70</v>
      </c>
      <c r="D64" s="2" t="s">
        <v>173</v>
      </c>
      <c r="E64" s="2" t="s">
        <v>39</v>
      </c>
      <c r="F64" s="2">
        <v>72.599999999999994</v>
      </c>
    </row>
    <row r="65" spans="1:6" x14ac:dyDescent="0.2">
      <c r="A65" s="3" t="s">
        <v>1</v>
      </c>
      <c r="B65" s="3" t="s">
        <v>15</v>
      </c>
      <c r="C65" s="3" t="s">
        <v>64</v>
      </c>
      <c r="D65" s="3" t="s">
        <v>174</v>
      </c>
      <c r="E65" s="3" t="s">
        <v>39</v>
      </c>
      <c r="F65" s="3">
        <v>67.8</v>
      </c>
    </row>
    <row r="66" spans="1:6" x14ac:dyDescent="0.2">
      <c r="A66" s="2" t="s">
        <v>1</v>
      </c>
      <c r="B66" s="2" t="s">
        <v>15</v>
      </c>
      <c r="C66" s="2" t="s">
        <v>65</v>
      </c>
      <c r="D66" s="2" t="s">
        <v>174</v>
      </c>
      <c r="E66" s="2" t="s">
        <v>39</v>
      </c>
      <c r="F66" s="2">
        <v>68.3</v>
      </c>
    </row>
    <row r="67" spans="1:6" x14ac:dyDescent="0.2">
      <c r="A67" s="3" t="s">
        <v>1</v>
      </c>
      <c r="B67" s="3" t="s">
        <v>15</v>
      </c>
      <c r="C67" s="3" t="s">
        <v>66</v>
      </c>
      <c r="D67" s="3" t="s">
        <v>174</v>
      </c>
      <c r="E67" s="3" t="s">
        <v>39</v>
      </c>
      <c r="F67" s="3">
        <v>68</v>
      </c>
    </row>
    <row r="68" spans="1:6" x14ac:dyDescent="0.2">
      <c r="A68" s="2" t="s">
        <v>1</v>
      </c>
      <c r="B68" s="2" t="s">
        <v>15</v>
      </c>
      <c r="C68" s="2" t="s">
        <v>67</v>
      </c>
      <c r="D68" s="2" t="s">
        <v>174</v>
      </c>
      <c r="E68" s="2" t="s">
        <v>39</v>
      </c>
      <c r="F68" s="2">
        <v>68.400000000000006</v>
      </c>
    </row>
    <row r="69" spans="1:6" x14ac:dyDescent="0.2">
      <c r="A69" s="3" t="s">
        <v>1</v>
      </c>
      <c r="B69" s="3" t="s">
        <v>15</v>
      </c>
      <c r="C69" s="3" t="s">
        <v>68</v>
      </c>
      <c r="D69" s="3" t="s">
        <v>174</v>
      </c>
      <c r="E69" s="3" t="s">
        <v>39</v>
      </c>
      <c r="F69" s="3">
        <v>69.3</v>
      </c>
    </row>
    <row r="70" spans="1:6" x14ac:dyDescent="0.2">
      <c r="A70" s="2" t="s">
        <v>1</v>
      </c>
      <c r="B70" s="2" t="s">
        <v>15</v>
      </c>
      <c r="C70" s="2" t="s">
        <v>69</v>
      </c>
      <c r="D70" s="2" t="s">
        <v>174</v>
      </c>
      <c r="E70" s="2" t="s">
        <v>39</v>
      </c>
      <c r="F70" s="2">
        <v>69.2</v>
      </c>
    </row>
    <row r="71" spans="1:6" x14ac:dyDescent="0.2">
      <c r="A71" s="3" t="s">
        <v>1</v>
      </c>
      <c r="B71" s="3" t="s">
        <v>15</v>
      </c>
      <c r="C71" s="3" t="s">
        <v>70</v>
      </c>
      <c r="D71" s="3" t="s">
        <v>174</v>
      </c>
      <c r="E71" s="3" t="s">
        <v>39</v>
      </c>
      <c r="F71" s="3">
        <v>69.099999999999994</v>
      </c>
    </row>
    <row r="72" spans="1:6" x14ac:dyDescent="0.2">
      <c r="A72" s="2" t="s">
        <v>2</v>
      </c>
      <c r="B72" s="2" t="s">
        <v>15</v>
      </c>
      <c r="C72" s="2" t="s">
        <v>64</v>
      </c>
      <c r="D72" s="2" t="s">
        <v>175</v>
      </c>
      <c r="E72" s="2" t="s">
        <v>39</v>
      </c>
      <c r="F72" s="2">
        <v>81.099999999999994</v>
      </c>
    </row>
    <row r="73" spans="1:6" x14ac:dyDescent="0.2">
      <c r="A73" s="3" t="s">
        <v>2</v>
      </c>
      <c r="B73" s="3" t="s">
        <v>15</v>
      </c>
      <c r="C73" s="3" t="s">
        <v>65</v>
      </c>
      <c r="D73" s="3" t="s">
        <v>175</v>
      </c>
      <c r="E73" s="3" t="s">
        <v>39</v>
      </c>
      <c r="F73" s="3">
        <v>81.599999999999994</v>
      </c>
    </row>
    <row r="74" spans="1:6" x14ac:dyDescent="0.2">
      <c r="A74" s="2" t="s">
        <v>2</v>
      </c>
      <c r="B74" s="2" t="s">
        <v>15</v>
      </c>
      <c r="C74" s="2" t="s">
        <v>66</v>
      </c>
      <c r="D74" s="2" t="s">
        <v>175</v>
      </c>
      <c r="E74" s="2" t="s">
        <v>39</v>
      </c>
      <c r="F74" s="2">
        <v>81.2</v>
      </c>
    </row>
    <row r="75" spans="1:6" x14ac:dyDescent="0.2">
      <c r="A75" s="3" t="s">
        <v>2</v>
      </c>
      <c r="B75" s="3" t="s">
        <v>15</v>
      </c>
      <c r="C75" s="3" t="s">
        <v>67</v>
      </c>
      <c r="D75" s="3" t="s">
        <v>175</v>
      </c>
      <c r="E75" s="3" t="s">
        <v>39</v>
      </c>
      <c r="F75" s="3">
        <v>81.5</v>
      </c>
    </row>
    <row r="76" spans="1:6" x14ac:dyDescent="0.2">
      <c r="A76" s="2" t="s">
        <v>2</v>
      </c>
      <c r="B76" s="2" t="s">
        <v>15</v>
      </c>
      <c r="C76" s="2" t="s">
        <v>68</v>
      </c>
      <c r="D76" s="2" t="s">
        <v>175</v>
      </c>
      <c r="E76" s="2" t="s">
        <v>39</v>
      </c>
      <c r="F76" s="2">
        <v>82.1</v>
      </c>
    </row>
    <row r="77" spans="1:6" x14ac:dyDescent="0.2">
      <c r="A77" s="3" t="s">
        <v>2</v>
      </c>
      <c r="B77" s="3" t="s">
        <v>15</v>
      </c>
      <c r="C77" s="3" t="s">
        <v>69</v>
      </c>
      <c r="D77" s="3" t="s">
        <v>175</v>
      </c>
      <c r="E77" s="3" t="s">
        <v>39</v>
      </c>
      <c r="F77" s="3">
        <v>82.3</v>
      </c>
    </row>
    <row r="78" spans="1:6" x14ac:dyDescent="0.2">
      <c r="A78" s="2" t="s">
        <v>2</v>
      </c>
      <c r="B78" s="2" t="s">
        <v>15</v>
      </c>
      <c r="C78" s="2" t="s">
        <v>70</v>
      </c>
      <c r="D78" s="2" t="s">
        <v>175</v>
      </c>
      <c r="E78" s="2" t="s">
        <v>39</v>
      </c>
      <c r="F78" s="2">
        <v>82.4</v>
      </c>
    </row>
    <row r="79" spans="1:6" x14ac:dyDescent="0.2">
      <c r="A79" s="3" t="s">
        <v>2</v>
      </c>
      <c r="B79" s="3" t="s">
        <v>15</v>
      </c>
      <c r="C79" s="3" t="s">
        <v>64</v>
      </c>
      <c r="D79" s="3" t="s">
        <v>176</v>
      </c>
      <c r="E79" s="3" t="s">
        <v>39</v>
      </c>
      <c r="F79" s="3">
        <v>78.3</v>
      </c>
    </row>
    <row r="80" spans="1:6" x14ac:dyDescent="0.2">
      <c r="A80" s="2" t="s">
        <v>2</v>
      </c>
      <c r="B80" s="2" t="s">
        <v>15</v>
      </c>
      <c r="C80" s="2" t="s">
        <v>65</v>
      </c>
      <c r="D80" s="2" t="s">
        <v>176</v>
      </c>
      <c r="E80" s="2" t="s">
        <v>39</v>
      </c>
      <c r="F80" s="2">
        <v>78.400000000000006</v>
      </c>
    </row>
    <row r="81" spans="1:6" x14ac:dyDescent="0.2">
      <c r="A81" s="3" t="s">
        <v>2</v>
      </c>
      <c r="B81" s="3" t="s">
        <v>15</v>
      </c>
      <c r="C81" s="3" t="s">
        <v>66</v>
      </c>
      <c r="D81" s="3" t="s">
        <v>176</v>
      </c>
      <c r="E81" s="3" t="s">
        <v>39</v>
      </c>
      <c r="F81" s="3">
        <v>78.599999999999994</v>
      </c>
    </row>
    <row r="82" spans="1:6" x14ac:dyDescent="0.2">
      <c r="A82" s="2" t="s">
        <v>2</v>
      </c>
      <c r="B82" s="2" t="s">
        <v>15</v>
      </c>
      <c r="C82" s="2" t="s">
        <v>67</v>
      </c>
      <c r="D82" s="2" t="s">
        <v>176</v>
      </c>
      <c r="E82" s="2" t="s">
        <v>39</v>
      </c>
      <c r="F82" s="2">
        <v>78.599999999999994</v>
      </c>
    </row>
    <row r="83" spans="1:6" x14ac:dyDescent="0.2">
      <c r="A83" s="3" t="s">
        <v>2</v>
      </c>
      <c r="B83" s="3" t="s">
        <v>15</v>
      </c>
      <c r="C83" s="3" t="s">
        <v>68</v>
      </c>
      <c r="D83" s="3" t="s">
        <v>176</v>
      </c>
      <c r="E83" s="3" t="s">
        <v>39</v>
      </c>
      <c r="F83" s="3">
        <v>78.900000000000006</v>
      </c>
    </row>
    <row r="84" spans="1:6" x14ac:dyDescent="0.2">
      <c r="A84" s="2" t="s">
        <v>2</v>
      </c>
      <c r="B84" s="2" t="s">
        <v>15</v>
      </c>
      <c r="C84" s="2" t="s">
        <v>69</v>
      </c>
      <c r="D84" s="2" t="s">
        <v>176</v>
      </c>
      <c r="E84" s="2" t="s">
        <v>39</v>
      </c>
      <c r="F84" s="2">
        <v>78.900000000000006</v>
      </c>
    </row>
    <row r="85" spans="1:6" x14ac:dyDescent="0.2">
      <c r="A85" s="3" t="s">
        <v>2</v>
      </c>
      <c r="B85" s="3" t="s">
        <v>15</v>
      </c>
      <c r="C85" s="3" t="s">
        <v>70</v>
      </c>
      <c r="D85" s="3" t="s">
        <v>176</v>
      </c>
      <c r="E85" s="3" t="s">
        <v>39</v>
      </c>
      <c r="F85" s="3">
        <v>79.099999999999994</v>
      </c>
    </row>
    <row r="86" spans="1:6" x14ac:dyDescent="0.2">
      <c r="A86" s="2" t="s">
        <v>2</v>
      </c>
      <c r="B86" s="2" t="s">
        <v>15</v>
      </c>
      <c r="C86" s="2" t="s">
        <v>64</v>
      </c>
      <c r="D86" s="2" t="s">
        <v>167</v>
      </c>
      <c r="E86" s="2" t="s">
        <v>39</v>
      </c>
      <c r="F86" s="2">
        <v>82.9</v>
      </c>
    </row>
    <row r="87" spans="1:6" x14ac:dyDescent="0.2">
      <c r="A87" s="3" t="s">
        <v>2</v>
      </c>
      <c r="B87" s="3" t="s">
        <v>15</v>
      </c>
      <c r="C87" s="3" t="s">
        <v>65</v>
      </c>
      <c r="D87" s="3" t="s">
        <v>167</v>
      </c>
      <c r="E87" s="3" t="s">
        <v>39</v>
      </c>
      <c r="F87" s="3">
        <v>82.9</v>
      </c>
    </row>
    <row r="88" spans="1:6" x14ac:dyDescent="0.2">
      <c r="A88" s="2" t="s">
        <v>2</v>
      </c>
      <c r="B88" s="2" t="s">
        <v>15</v>
      </c>
      <c r="C88" s="2" t="s">
        <v>66</v>
      </c>
      <c r="D88" s="2" t="s">
        <v>167</v>
      </c>
      <c r="E88" s="2" t="s">
        <v>39</v>
      </c>
      <c r="F88" s="2">
        <v>83.1</v>
      </c>
    </row>
    <row r="89" spans="1:6" x14ac:dyDescent="0.2">
      <c r="A89" s="3" t="s">
        <v>2</v>
      </c>
      <c r="B89" s="3" t="s">
        <v>15</v>
      </c>
      <c r="C89" s="3" t="s">
        <v>67</v>
      </c>
      <c r="D89" s="3" t="s">
        <v>167</v>
      </c>
      <c r="E89" s="3" t="s">
        <v>39</v>
      </c>
      <c r="F89" s="3">
        <v>84</v>
      </c>
    </row>
    <row r="90" spans="1:6" x14ac:dyDescent="0.2">
      <c r="A90" s="2" t="s">
        <v>2</v>
      </c>
      <c r="B90" s="2" t="s">
        <v>15</v>
      </c>
      <c r="C90" s="2" t="s">
        <v>68</v>
      </c>
      <c r="D90" s="2" t="s">
        <v>167</v>
      </c>
      <c r="E90" s="2" t="s">
        <v>39</v>
      </c>
      <c r="F90" s="2">
        <v>83.8</v>
      </c>
    </row>
    <row r="91" spans="1:6" x14ac:dyDescent="0.2">
      <c r="A91" s="3" t="s">
        <v>2</v>
      </c>
      <c r="B91" s="3" t="s">
        <v>15</v>
      </c>
      <c r="C91" s="3" t="s">
        <v>69</v>
      </c>
      <c r="D91" s="3" t="s">
        <v>167</v>
      </c>
      <c r="E91" s="3" t="s">
        <v>39</v>
      </c>
      <c r="F91" s="3">
        <v>83.7</v>
      </c>
    </row>
    <row r="92" spans="1:6" x14ac:dyDescent="0.2">
      <c r="A92" s="2" t="s">
        <v>2</v>
      </c>
      <c r="B92" s="2" t="s">
        <v>15</v>
      </c>
      <c r="C92" s="2" t="s">
        <v>70</v>
      </c>
      <c r="D92" s="2" t="s">
        <v>167</v>
      </c>
      <c r="E92" s="2" t="s">
        <v>39</v>
      </c>
      <c r="F92" s="2">
        <v>83.8</v>
      </c>
    </row>
    <row r="93" spans="1:6" x14ac:dyDescent="0.2">
      <c r="A93" s="3" t="s">
        <v>2</v>
      </c>
      <c r="B93" s="3" t="s">
        <v>15</v>
      </c>
      <c r="C93" s="3" t="s">
        <v>64</v>
      </c>
      <c r="D93" s="3" t="s">
        <v>177</v>
      </c>
      <c r="E93" s="3" t="s">
        <v>39</v>
      </c>
      <c r="F93" s="3">
        <v>74.599999999999994</v>
      </c>
    </row>
    <row r="94" spans="1:6" x14ac:dyDescent="0.2">
      <c r="A94" s="2" t="s">
        <v>2</v>
      </c>
      <c r="B94" s="2" t="s">
        <v>15</v>
      </c>
      <c r="C94" s="2" t="s">
        <v>65</v>
      </c>
      <c r="D94" s="2" t="s">
        <v>177</v>
      </c>
      <c r="E94" s="2" t="s">
        <v>39</v>
      </c>
      <c r="F94" s="2">
        <v>75.5</v>
      </c>
    </row>
    <row r="95" spans="1:6" x14ac:dyDescent="0.2">
      <c r="A95" s="3" t="s">
        <v>2</v>
      </c>
      <c r="B95" s="3" t="s">
        <v>15</v>
      </c>
      <c r="C95" s="3" t="s">
        <v>66</v>
      </c>
      <c r="D95" s="3" t="s">
        <v>177</v>
      </c>
      <c r="E95" s="3" t="s">
        <v>39</v>
      </c>
      <c r="F95" s="3">
        <v>75</v>
      </c>
    </row>
    <row r="96" spans="1:6" x14ac:dyDescent="0.2">
      <c r="A96" s="2" t="s">
        <v>2</v>
      </c>
      <c r="B96" s="2" t="s">
        <v>15</v>
      </c>
      <c r="C96" s="2" t="s">
        <v>67</v>
      </c>
      <c r="D96" s="2" t="s">
        <v>177</v>
      </c>
      <c r="E96" s="2" t="s">
        <v>39</v>
      </c>
      <c r="F96" s="2">
        <v>75.900000000000006</v>
      </c>
    </row>
    <row r="97" spans="1:6" x14ac:dyDescent="0.2">
      <c r="A97" s="3" t="s">
        <v>2</v>
      </c>
      <c r="B97" s="3" t="s">
        <v>15</v>
      </c>
      <c r="C97" s="3" t="s">
        <v>68</v>
      </c>
      <c r="D97" s="3" t="s">
        <v>177</v>
      </c>
      <c r="E97" s="3" t="s">
        <v>39</v>
      </c>
      <c r="F97" s="3">
        <v>76.099999999999994</v>
      </c>
    </row>
    <row r="98" spans="1:6" x14ac:dyDescent="0.2">
      <c r="A98" s="2" t="s">
        <v>2</v>
      </c>
      <c r="B98" s="2" t="s">
        <v>15</v>
      </c>
      <c r="C98" s="2" t="s">
        <v>69</v>
      </c>
      <c r="D98" s="2" t="s">
        <v>177</v>
      </c>
      <c r="E98" s="2" t="s">
        <v>39</v>
      </c>
      <c r="F98" s="2">
        <v>76.400000000000006</v>
      </c>
    </row>
    <row r="99" spans="1:6" x14ac:dyDescent="0.2">
      <c r="A99" s="3" t="s">
        <v>2</v>
      </c>
      <c r="B99" s="3" t="s">
        <v>15</v>
      </c>
      <c r="C99" s="3" t="s">
        <v>70</v>
      </c>
      <c r="D99" s="3" t="s">
        <v>177</v>
      </c>
      <c r="E99" s="3" t="s">
        <v>39</v>
      </c>
      <c r="F99" s="3">
        <v>75.7</v>
      </c>
    </row>
    <row r="100" spans="1:6" x14ac:dyDescent="0.2">
      <c r="A100" s="2" t="s">
        <v>2</v>
      </c>
      <c r="B100" s="2" t="s">
        <v>15</v>
      </c>
      <c r="C100" s="2" t="s">
        <v>64</v>
      </c>
      <c r="D100" s="2" t="s">
        <v>178</v>
      </c>
      <c r="E100" s="2" t="s">
        <v>39</v>
      </c>
      <c r="F100" s="2">
        <v>67.8</v>
      </c>
    </row>
    <row r="101" spans="1:6" x14ac:dyDescent="0.2">
      <c r="A101" s="3" t="s">
        <v>2</v>
      </c>
      <c r="B101" s="3" t="s">
        <v>15</v>
      </c>
      <c r="C101" s="3" t="s">
        <v>65</v>
      </c>
      <c r="D101" s="3" t="s">
        <v>178</v>
      </c>
      <c r="E101" s="3" t="s">
        <v>39</v>
      </c>
      <c r="F101" s="3">
        <v>68.5</v>
      </c>
    </row>
    <row r="102" spans="1:6" x14ac:dyDescent="0.2">
      <c r="A102" s="2" t="s">
        <v>2</v>
      </c>
      <c r="B102" s="2" t="s">
        <v>15</v>
      </c>
      <c r="C102" s="2" t="s">
        <v>66</v>
      </c>
      <c r="D102" s="2" t="s">
        <v>178</v>
      </c>
      <c r="E102" s="2" t="s">
        <v>39</v>
      </c>
      <c r="F102" s="2">
        <v>68</v>
      </c>
    </row>
    <row r="103" spans="1:6" x14ac:dyDescent="0.2">
      <c r="A103" s="3" t="s">
        <v>2</v>
      </c>
      <c r="B103" s="3" t="s">
        <v>15</v>
      </c>
      <c r="C103" s="3" t="s">
        <v>67</v>
      </c>
      <c r="D103" s="3" t="s">
        <v>178</v>
      </c>
      <c r="E103" s="3" t="s">
        <v>39</v>
      </c>
      <c r="F103" s="3">
        <v>68.5</v>
      </c>
    </row>
    <row r="104" spans="1:6" x14ac:dyDescent="0.2">
      <c r="A104" s="2" t="s">
        <v>2</v>
      </c>
      <c r="B104" s="2" t="s">
        <v>15</v>
      </c>
      <c r="C104" s="2" t="s">
        <v>68</v>
      </c>
      <c r="D104" s="2" t="s">
        <v>178</v>
      </c>
      <c r="E104" s="2" t="s">
        <v>39</v>
      </c>
      <c r="F104" s="2">
        <v>68.5</v>
      </c>
    </row>
    <row r="105" spans="1:6" x14ac:dyDescent="0.2">
      <c r="A105" s="3" t="s">
        <v>2</v>
      </c>
      <c r="B105" s="3" t="s">
        <v>15</v>
      </c>
      <c r="C105" s="3" t="s">
        <v>69</v>
      </c>
      <c r="D105" s="3" t="s">
        <v>178</v>
      </c>
      <c r="E105" s="3" t="s">
        <v>39</v>
      </c>
      <c r="F105" s="3">
        <v>69.3</v>
      </c>
    </row>
    <row r="106" spans="1:6" x14ac:dyDescent="0.2">
      <c r="A106" s="2" t="s">
        <v>2</v>
      </c>
      <c r="B106" s="2" t="s">
        <v>15</v>
      </c>
      <c r="C106" s="2" t="s">
        <v>70</v>
      </c>
      <c r="D106" s="2" t="s">
        <v>178</v>
      </c>
      <c r="E106" s="2" t="s">
        <v>39</v>
      </c>
      <c r="F106" s="2">
        <v>69.5</v>
      </c>
    </row>
    <row r="107" spans="1:6" x14ac:dyDescent="0.2">
      <c r="A107" s="3" t="s">
        <v>3</v>
      </c>
      <c r="B107" s="3" t="s">
        <v>15</v>
      </c>
      <c r="C107" s="3" t="s">
        <v>64</v>
      </c>
      <c r="D107" s="3" t="s">
        <v>179</v>
      </c>
      <c r="E107" s="3" t="s">
        <v>39</v>
      </c>
      <c r="F107" s="3">
        <v>90.3</v>
      </c>
    </row>
    <row r="108" spans="1:6" x14ac:dyDescent="0.2">
      <c r="A108" s="2" t="s">
        <v>3</v>
      </c>
      <c r="B108" s="2" t="s">
        <v>15</v>
      </c>
      <c r="C108" s="2" t="s">
        <v>65</v>
      </c>
      <c r="D108" s="2" t="s">
        <v>179</v>
      </c>
      <c r="E108" s="2" t="s">
        <v>39</v>
      </c>
      <c r="F108" s="2">
        <v>89.9</v>
      </c>
    </row>
    <row r="109" spans="1:6" x14ac:dyDescent="0.2">
      <c r="A109" s="3" t="s">
        <v>3</v>
      </c>
      <c r="B109" s="3" t="s">
        <v>15</v>
      </c>
      <c r="C109" s="3" t="s">
        <v>66</v>
      </c>
      <c r="D109" s="3" t="s">
        <v>179</v>
      </c>
      <c r="E109" s="3" t="s">
        <v>39</v>
      </c>
      <c r="F109" s="3">
        <v>90.3</v>
      </c>
    </row>
    <row r="110" spans="1:6" x14ac:dyDescent="0.2">
      <c r="A110" s="2" t="s">
        <v>3</v>
      </c>
      <c r="B110" s="2" t="s">
        <v>15</v>
      </c>
      <c r="C110" s="2" t="s">
        <v>67</v>
      </c>
      <c r="D110" s="2" t="s">
        <v>179</v>
      </c>
      <c r="E110" s="2" t="s">
        <v>39</v>
      </c>
      <c r="F110" s="2">
        <v>90.5</v>
      </c>
    </row>
    <row r="111" spans="1:6" x14ac:dyDescent="0.2">
      <c r="A111" s="3" t="s">
        <v>3</v>
      </c>
      <c r="B111" s="3" t="s">
        <v>15</v>
      </c>
      <c r="C111" s="3" t="s">
        <v>68</v>
      </c>
      <c r="D111" s="3" t="s">
        <v>179</v>
      </c>
      <c r="E111" s="3" t="s">
        <v>39</v>
      </c>
      <c r="F111" s="3">
        <v>91</v>
      </c>
    </row>
    <row r="112" spans="1:6" x14ac:dyDescent="0.2">
      <c r="A112" s="2" t="s">
        <v>3</v>
      </c>
      <c r="B112" s="2" t="s">
        <v>15</v>
      </c>
      <c r="C112" s="2" t="s">
        <v>69</v>
      </c>
      <c r="D112" s="2" t="s">
        <v>179</v>
      </c>
      <c r="E112" s="2" t="s">
        <v>39</v>
      </c>
      <c r="F112" s="2">
        <v>90.7</v>
      </c>
    </row>
    <row r="113" spans="1:6" x14ac:dyDescent="0.2">
      <c r="A113" s="3" t="s">
        <v>3</v>
      </c>
      <c r="B113" s="3" t="s">
        <v>15</v>
      </c>
      <c r="C113" s="3" t="s">
        <v>70</v>
      </c>
      <c r="D113" s="3" t="s">
        <v>179</v>
      </c>
      <c r="E113" s="3" t="s">
        <v>39</v>
      </c>
      <c r="F113" s="3">
        <v>91.1</v>
      </c>
    </row>
    <row r="114" spans="1:6" x14ac:dyDescent="0.2">
      <c r="A114" s="2" t="s">
        <v>3</v>
      </c>
      <c r="B114" s="2" t="s">
        <v>15</v>
      </c>
      <c r="C114" s="2" t="s">
        <v>64</v>
      </c>
      <c r="D114" s="2" t="s">
        <v>180</v>
      </c>
      <c r="E114" s="2" t="s">
        <v>39</v>
      </c>
      <c r="F114" s="2">
        <v>84.8</v>
      </c>
    </row>
    <row r="115" spans="1:6" x14ac:dyDescent="0.2">
      <c r="A115" s="3" t="s">
        <v>3</v>
      </c>
      <c r="B115" s="3" t="s">
        <v>15</v>
      </c>
      <c r="C115" s="3" t="s">
        <v>65</v>
      </c>
      <c r="D115" s="3" t="s">
        <v>180</v>
      </c>
      <c r="E115" s="3" t="s">
        <v>39</v>
      </c>
      <c r="F115" s="3">
        <v>85.4</v>
      </c>
    </row>
    <row r="116" spans="1:6" x14ac:dyDescent="0.2">
      <c r="A116" s="2" t="s">
        <v>3</v>
      </c>
      <c r="B116" s="2" t="s">
        <v>15</v>
      </c>
      <c r="C116" s="2" t="s">
        <v>66</v>
      </c>
      <c r="D116" s="2" t="s">
        <v>180</v>
      </c>
      <c r="E116" s="2" t="s">
        <v>39</v>
      </c>
      <c r="F116" s="2">
        <v>85.3</v>
      </c>
    </row>
    <row r="117" spans="1:6" x14ac:dyDescent="0.2">
      <c r="A117" s="3" t="s">
        <v>3</v>
      </c>
      <c r="B117" s="3" t="s">
        <v>15</v>
      </c>
      <c r="C117" s="3" t="s">
        <v>67</v>
      </c>
      <c r="D117" s="3" t="s">
        <v>180</v>
      </c>
      <c r="E117" s="3" t="s">
        <v>39</v>
      </c>
      <c r="F117" s="3">
        <v>85.6</v>
      </c>
    </row>
    <row r="118" spans="1:6" x14ac:dyDescent="0.2">
      <c r="A118" s="2" t="s">
        <v>3</v>
      </c>
      <c r="B118" s="2" t="s">
        <v>15</v>
      </c>
      <c r="C118" s="2" t="s">
        <v>68</v>
      </c>
      <c r="D118" s="2" t="s">
        <v>180</v>
      </c>
      <c r="E118" s="2" t="s">
        <v>39</v>
      </c>
      <c r="F118" s="2">
        <v>85.6</v>
      </c>
    </row>
    <row r="119" spans="1:6" x14ac:dyDescent="0.2">
      <c r="A119" s="3" t="s">
        <v>3</v>
      </c>
      <c r="B119" s="3" t="s">
        <v>15</v>
      </c>
      <c r="C119" s="3" t="s">
        <v>69</v>
      </c>
      <c r="D119" s="3" t="s">
        <v>180</v>
      </c>
      <c r="E119" s="3" t="s">
        <v>39</v>
      </c>
      <c r="F119" s="3">
        <v>86.3</v>
      </c>
    </row>
    <row r="120" spans="1:6" x14ac:dyDescent="0.2">
      <c r="A120" s="2" t="s">
        <v>3</v>
      </c>
      <c r="B120" s="2" t="s">
        <v>15</v>
      </c>
      <c r="C120" s="2" t="s">
        <v>70</v>
      </c>
      <c r="D120" s="2" t="s">
        <v>180</v>
      </c>
      <c r="E120" s="2" t="s">
        <v>39</v>
      </c>
      <c r="F120" s="2">
        <v>86.2</v>
      </c>
    </row>
    <row r="121" spans="1:6" x14ac:dyDescent="0.2">
      <c r="A121" s="3" t="s">
        <v>3</v>
      </c>
      <c r="B121" s="3" t="s">
        <v>15</v>
      </c>
      <c r="C121" s="3" t="s">
        <v>64</v>
      </c>
      <c r="D121" s="3" t="s">
        <v>181</v>
      </c>
      <c r="E121" s="3" t="s">
        <v>39</v>
      </c>
      <c r="F121" s="3">
        <v>88.3</v>
      </c>
    </row>
    <row r="122" spans="1:6" x14ac:dyDescent="0.2">
      <c r="A122" s="2" t="s">
        <v>3</v>
      </c>
      <c r="B122" s="2" t="s">
        <v>15</v>
      </c>
      <c r="C122" s="2" t="s">
        <v>65</v>
      </c>
      <c r="D122" s="2" t="s">
        <v>181</v>
      </c>
      <c r="E122" s="2" t="s">
        <v>39</v>
      </c>
      <c r="F122" s="2">
        <v>88.1</v>
      </c>
    </row>
    <row r="123" spans="1:6" x14ac:dyDescent="0.2">
      <c r="A123" s="3" t="s">
        <v>3</v>
      </c>
      <c r="B123" s="3" t="s">
        <v>15</v>
      </c>
      <c r="C123" s="3" t="s">
        <v>66</v>
      </c>
      <c r="D123" s="3" t="s">
        <v>181</v>
      </c>
      <c r="E123" s="3" t="s">
        <v>39</v>
      </c>
      <c r="F123" s="3">
        <v>88.8</v>
      </c>
    </row>
    <row r="124" spans="1:6" x14ac:dyDescent="0.2">
      <c r="A124" s="2" t="s">
        <v>3</v>
      </c>
      <c r="B124" s="2" t="s">
        <v>15</v>
      </c>
      <c r="C124" s="2" t="s">
        <v>67</v>
      </c>
      <c r="D124" s="2" t="s">
        <v>181</v>
      </c>
      <c r="E124" s="2" t="s">
        <v>39</v>
      </c>
      <c r="F124" s="2">
        <v>89.1</v>
      </c>
    </row>
    <row r="125" spans="1:6" x14ac:dyDescent="0.2">
      <c r="A125" s="3" t="s">
        <v>3</v>
      </c>
      <c r="B125" s="3" t="s">
        <v>15</v>
      </c>
      <c r="C125" s="3" t="s">
        <v>68</v>
      </c>
      <c r="D125" s="3" t="s">
        <v>181</v>
      </c>
      <c r="E125" s="3" t="s">
        <v>39</v>
      </c>
      <c r="F125" s="3">
        <v>88.8</v>
      </c>
    </row>
    <row r="126" spans="1:6" x14ac:dyDescent="0.2">
      <c r="A126" s="2" t="s">
        <v>3</v>
      </c>
      <c r="B126" s="2" t="s">
        <v>15</v>
      </c>
      <c r="C126" s="2" t="s">
        <v>69</v>
      </c>
      <c r="D126" s="2" t="s">
        <v>181</v>
      </c>
      <c r="E126" s="2" t="s">
        <v>39</v>
      </c>
      <c r="F126" s="2">
        <v>88.8</v>
      </c>
    </row>
    <row r="127" spans="1:6" x14ac:dyDescent="0.2">
      <c r="A127" s="3" t="s">
        <v>3</v>
      </c>
      <c r="B127" s="3" t="s">
        <v>15</v>
      </c>
      <c r="C127" s="3" t="s">
        <v>70</v>
      </c>
      <c r="D127" s="3" t="s">
        <v>181</v>
      </c>
      <c r="E127" s="3" t="s">
        <v>39</v>
      </c>
      <c r="F127" s="3">
        <v>89.1</v>
      </c>
    </row>
    <row r="128" spans="1:6" x14ac:dyDescent="0.2">
      <c r="A128" s="2" t="s">
        <v>3</v>
      </c>
      <c r="B128" s="2" t="s">
        <v>15</v>
      </c>
      <c r="C128" s="2" t="s">
        <v>64</v>
      </c>
      <c r="D128" s="2" t="s">
        <v>182</v>
      </c>
      <c r="E128" s="2" t="s">
        <v>39</v>
      </c>
      <c r="F128" s="2">
        <v>72</v>
      </c>
    </row>
    <row r="129" spans="1:6" x14ac:dyDescent="0.2">
      <c r="A129" s="3" t="s">
        <v>3</v>
      </c>
      <c r="B129" s="3" t="s">
        <v>15</v>
      </c>
      <c r="C129" s="3" t="s">
        <v>65</v>
      </c>
      <c r="D129" s="3" t="s">
        <v>182</v>
      </c>
      <c r="E129" s="3" t="s">
        <v>39</v>
      </c>
      <c r="F129" s="3">
        <v>72.7</v>
      </c>
    </row>
    <row r="130" spans="1:6" x14ac:dyDescent="0.2">
      <c r="A130" s="2" t="s">
        <v>3</v>
      </c>
      <c r="B130" s="2" t="s">
        <v>15</v>
      </c>
      <c r="C130" s="2" t="s">
        <v>66</v>
      </c>
      <c r="D130" s="2" t="s">
        <v>182</v>
      </c>
      <c r="E130" s="2" t="s">
        <v>39</v>
      </c>
      <c r="F130" s="2">
        <v>72.7</v>
      </c>
    </row>
    <row r="131" spans="1:6" x14ac:dyDescent="0.2">
      <c r="A131" s="3" t="s">
        <v>3</v>
      </c>
      <c r="B131" s="3" t="s">
        <v>15</v>
      </c>
      <c r="C131" s="3" t="s">
        <v>67</v>
      </c>
      <c r="D131" s="3" t="s">
        <v>182</v>
      </c>
      <c r="E131" s="3" t="s">
        <v>39</v>
      </c>
      <c r="F131" s="3">
        <v>72.900000000000006</v>
      </c>
    </row>
    <row r="132" spans="1:6" x14ac:dyDescent="0.2">
      <c r="A132" s="2" t="s">
        <v>3</v>
      </c>
      <c r="B132" s="2" t="s">
        <v>15</v>
      </c>
      <c r="C132" s="2" t="s">
        <v>68</v>
      </c>
      <c r="D132" s="2" t="s">
        <v>182</v>
      </c>
      <c r="E132" s="2" t="s">
        <v>39</v>
      </c>
      <c r="F132" s="2">
        <v>72.400000000000006</v>
      </c>
    </row>
    <row r="133" spans="1:6" x14ac:dyDescent="0.2">
      <c r="A133" s="3" t="s">
        <v>3</v>
      </c>
      <c r="B133" s="3" t="s">
        <v>15</v>
      </c>
      <c r="C133" s="3" t="s">
        <v>69</v>
      </c>
      <c r="D133" s="3" t="s">
        <v>182</v>
      </c>
      <c r="E133" s="3" t="s">
        <v>39</v>
      </c>
      <c r="F133" s="3">
        <v>72.8</v>
      </c>
    </row>
    <row r="134" spans="1:6" x14ac:dyDescent="0.2">
      <c r="A134" s="2" t="s">
        <v>3</v>
      </c>
      <c r="B134" s="2" t="s">
        <v>15</v>
      </c>
      <c r="C134" s="2" t="s">
        <v>70</v>
      </c>
      <c r="D134" s="2" t="s">
        <v>182</v>
      </c>
      <c r="E134" s="2" t="s">
        <v>39</v>
      </c>
      <c r="F134" s="2">
        <v>73.3</v>
      </c>
    </row>
    <row r="135" spans="1:6" x14ac:dyDescent="0.2">
      <c r="A135" s="3" t="s">
        <v>3</v>
      </c>
      <c r="B135" s="3" t="s">
        <v>15</v>
      </c>
      <c r="C135" s="3" t="s">
        <v>64</v>
      </c>
      <c r="D135" s="3" t="s">
        <v>183</v>
      </c>
      <c r="E135" s="3" t="s">
        <v>39</v>
      </c>
      <c r="F135" s="3">
        <v>65.400000000000006</v>
      </c>
    </row>
    <row r="136" spans="1:6" x14ac:dyDescent="0.2">
      <c r="A136" s="2" t="s">
        <v>3</v>
      </c>
      <c r="B136" s="2" t="s">
        <v>15</v>
      </c>
      <c r="C136" s="2" t="s">
        <v>65</v>
      </c>
      <c r="D136" s="2" t="s">
        <v>183</v>
      </c>
      <c r="E136" s="2" t="s">
        <v>39</v>
      </c>
      <c r="F136" s="2">
        <v>65.3</v>
      </c>
    </row>
    <row r="137" spans="1:6" x14ac:dyDescent="0.2">
      <c r="A137" s="3" t="s">
        <v>3</v>
      </c>
      <c r="B137" s="3" t="s">
        <v>15</v>
      </c>
      <c r="C137" s="3" t="s">
        <v>66</v>
      </c>
      <c r="D137" s="3" t="s">
        <v>183</v>
      </c>
      <c r="E137" s="3" t="s">
        <v>39</v>
      </c>
      <c r="F137" s="3">
        <v>65</v>
      </c>
    </row>
    <row r="138" spans="1:6" x14ac:dyDescent="0.2">
      <c r="A138" s="2" t="s">
        <v>3</v>
      </c>
      <c r="B138" s="2" t="s">
        <v>15</v>
      </c>
      <c r="C138" s="2" t="s">
        <v>67</v>
      </c>
      <c r="D138" s="2" t="s">
        <v>183</v>
      </c>
      <c r="E138" s="2" t="s">
        <v>39</v>
      </c>
      <c r="F138" s="2">
        <v>65.900000000000006</v>
      </c>
    </row>
    <row r="139" spans="1:6" x14ac:dyDescent="0.2">
      <c r="A139" s="3" t="s">
        <v>3</v>
      </c>
      <c r="B139" s="3" t="s">
        <v>15</v>
      </c>
      <c r="C139" s="3" t="s">
        <v>68</v>
      </c>
      <c r="D139" s="3" t="s">
        <v>183</v>
      </c>
      <c r="E139" s="3" t="s">
        <v>39</v>
      </c>
      <c r="F139" s="3">
        <v>66.2</v>
      </c>
    </row>
    <row r="140" spans="1:6" x14ac:dyDescent="0.2">
      <c r="A140" s="2" t="s">
        <v>3</v>
      </c>
      <c r="B140" s="2" t="s">
        <v>15</v>
      </c>
      <c r="C140" s="2" t="s">
        <v>69</v>
      </c>
      <c r="D140" s="2" t="s">
        <v>183</v>
      </c>
      <c r="E140" s="2" t="s">
        <v>39</v>
      </c>
      <c r="F140" s="2">
        <v>65.8</v>
      </c>
    </row>
    <row r="141" spans="1:6" x14ac:dyDescent="0.2">
      <c r="A141" s="3" t="s">
        <v>3</v>
      </c>
      <c r="B141" s="3" t="s">
        <v>15</v>
      </c>
      <c r="C141" s="3" t="s">
        <v>70</v>
      </c>
      <c r="D141" s="3" t="s">
        <v>183</v>
      </c>
      <c r="E141" s="3" t="s">
        <v>39</v>
      </c>
      <c r="F141" s="3">
        <v>66.5</v>
      </c>
    </row>
    <row r="142" spans="1:6" x14ac:dyDescent="0.2">
      <c r="A142" s="2" t="s">
        <v>4</v>
      </c>
      <c r="B142" s="2" t="s">
        <v>15</v>
      </c>
      <c r="C142" s="2" t="s">
        <v>64</v>
      </c>
      <c r="D142" s="2" t="s">
        <v>184</v>
      </c>
      <c r="E142" s="2" t="s">
        <v>39</v>
      </c>
      <c r="F142" s="2">
        <v>87.8</v>
      </c>
    </row>
    <row r="143" spans="1:6" x14ac:dyDescent="0.2">
      <c r="A143" s="3" t="s">
        <v>4</v>
      </c>
      <c r="B143" s="3" t="s">
        <v>15</v>
      </c>
      <c r="C143" s="3" t="s">
        <v>65</v>
      </c>
      <c r="D143" s="3" t="s">
        <v>184</v>
      </c>
      <c r="E143" s="3" t="s">
        <v>39</v>
      </c>
      <c r="F143" s="3">
        <v>88.6</v>
      </c>
    </row>
    <row r="144" spans="1:6" x14ac:dyDescent="0.2">
      <c r="A144" s="2" t="s">
        <v>4</v>
      </c>
      <c r="B144" s="2" t="s">
        <v>15</v>
      </c>
      <c r="C144" s="2" t="s">
        <v>66</v>
      </c>
      <c r="D144" s="2" t="s">
        <v>184</v>
      </c>
      <c r="E144" s="2" t="s">
        <v>39</v>
      </c>
      <c r="F144" s="2">
        <v>88</v>
      </c>
    </row>
    <row r="145" spans="1:6" x14ac:dyDescent="0.2">
      <c r="A145" s="3" t="s">
        <v>4</v>
      </c>
      <c r="B145" s="3" t="s">
        <v>15</v>
      </c>
      <c r="C145" s="3" t="s">
        <v>67</v>
      </c>
      <c r="D145" s="3" t="s">
        <v>184</v>
      </c>
      <c r="E145" s="3" t="s">
        <v>39</v>
      </c>
      <c r="F145" s="3">
        <v>88.5</v>
      </c>
    </row>
    <row r="146" spans="1:6" x14ac:dyDescent="0.2">
      <c r="A146" s="2" t="s">
        <v>4</v>
      </c>
      <c r="B146" s="2" t="s">
        <v>15</v>
      </c>
      <c r="C146" s="2" t="s">
        <v>68</v>
      </c>
      <c r="D146" s="2" t="s">
        <v>184</v>
      </c>
      <c r="E146" s="2" t="s">
        <v>39</v>
      </c>
      <c r="F146" s="2">
        <v>89.2</v>
      </c>
    </row>
    <row r="147" spans="1:6" x14ac:dyDescent="0.2">
      <c r="A147" s="3" t="s">
        <v>4</v>
      </c>
      <c r="B147" s="3" t="s">
        <v>15</v>
      </c>
      <c r="C147" s="3" t="s">
        <v>69</v>
      </c>
      <c r="D147" s="3" t="s">
        <v>184</v>
      </c>
      <c r="E147" s="3" t="s">
        <v>39</v>
      </c>
      <c r="F147" s="3">
        <v>88.7</v>
      </c>
    </row>
    <row r="148" spans="1:6" x14ac:dyDescent="0.2">
      <c r="A148" s="2" t="s">
        <v>4</v>
      </c>
      <c r="B148" s="2" t="s">
        <v>15</v>
      </c>
      <c r="C148" s="2" t="s">
        <v>70</v>
      </c>
      <c r="D148" s="2" t="s">
        <v>184</v>
      </c>
      <c r="E148" s="2" t="s">
        <v>39</v>
      </c>
      <c r="F148" s="2">
        <v>89.2</v>
      </c>
    </row>
    <row r="149" spans="1:6" x14ac:dyDescent="0.2">
      <c r="A149" s="3" t="s">
        <v>4</v>
      </c>
      <c r="B149" s="3" t="s">
        <v>15</v>
      </c>
      <c r="C149" s="3" t="s">
        <v>64</v>
      </c>
      <c r="D149" s="3" t="s">
        <v>185</v>
      </c>
      <c r="E149" s="3" t="s">
        <v>39</v>
      </c>
      <c r="F149" s="3">
        <v>88.8</v>
      </c>
    </row>
    <row r="150" spans="1:6" x14ac:dyDescent="0.2">
      <c r="A150" s="2" t="s">
        <v>4</v>
      </c>
      <c r="B150" s="2" t="s">
        <v>15</v>
      </c>
      <c r="C150" s="2" t="s">
        <v>65</v>
      </c>
      <c r="D150" s="2" t="s">
        <v>185</v>
      </c>
      <c r="E150" s="2" t="s">
        <v>39</v>
      </c>
      <c r="F150" s="2">
        <v>88.7</v>
      </c>
    </row>
    <row r="151" spans="1:6" x14ac:dyDescent="0.2">
      <c r="A151" s="3" t="s">
        <v>4</v>
      </c>
      <c r="B151" s="3" t="s">
        <v>15</v>
      </c>
      <c r="C151" s="3" t="s">
        <v>66</v>
      </c>
      <c r="D151" s="3" t="s">
        <v>185</v>
      </c>
      <c r="E151" s="3" t="s">
        <v>39</v>
      </c>
      <c r="F151" s="3">
        <v>89</v>
      </c>
    </row>
    <row r="152" spans="1:6" x14ac:dyDescent="0.2">
      <c r="A152" s="2" t="s">
        <v>4</v>
      </c>
      <c r="B152" s="2" t="s">
        <v>15</v>
      </c>
      <c r="C152" s="2" t="s">
        <v>67</v>
      </c>
      <c r="D152" s="2" t="s">
        <v>185</v>
      </c>
      <c r="E152" s="2" t="s">
        <v>39</v>
      </c>
      <c r="F152" s="2">
        <v>89.6</v>
      </c>
    </row>
    <row r="153" spans="1:6" x14ac:dyDescent="0.2">
      <c r="A153" s="3" t="s">
        <v>4</v>
      </c>
      <c r="B153" s="3" t="s">
        <v>15</v>
      </c>
      <c r="C153" s="3" t="s">
        <v>68</v>
      </c>
      <c r="D153" s="3" t="s">
        <v>185</v>
      </c>
      <c r="E153" s="3" t="s">
        <v>39</v>
      </c>
      <c r="F153" s="3">
        <v>89.5</v>
      </c>
    </row>
    <row r="154" spans="1:6" x14ac:dyDescent="0.2">
      <c r="A154" s="2" t="s">
        <v>4</v>
      </c>
      <c r="B154" s="2" t="s">
        <v>15</v>
      </c>
      <c r="C154" s="2" t="s">
        <v>69</v>
      </c>
      <c r="D154" s="2" t="s">
        <v>185</v>
      </c>
      <c r="E154" s="2" t="s">
        <v>39</v>
      </c>
      <c r="F154" s="2">
        <v>90.5</v>
      </c>
    </row>
    <row r="155" spans="1:6" x14ac:dyDescent="0.2">
      <c r="A155" s="3" t="s">
        <v>4</v>
      </c>
      <c r="B155" s="3" t="s">
        <v>15</v>
      </c>
      <c r="C155" s="3" t="s">
        <v>70</v>
      </c>
      <c r="D155" s="3" t="s">
        <v>185</v>
      </c>
      <c r="E155" s="3" t="s">
        <v>39</v>
      </c>
      <c r="F155" s="3">
        <v>90.1</v>
      </c>
    </row>
    <row r="156" spans="1:6" x14ac:dyDescent="0.2">
      <c r="A156" s="2" t="s">
        <v>4</v>
      </c>
      <c r="B156" s="2" t="s">
        <v>15</v>
      </c>
      <c r="C156" s="2" t="s">
        <v>64</v>
      </c>
      <c r="D156" s="2" t="s">
        <v>186</v>
      </c>
      <c r="E156" s="2" t="s">
        <v>39</v>
      </c>
      <c r="F156" s="2">
        <v>81.5</v>
      </c>
    </row>
    <row r="157" spans="1:6" x14ac:dyDescent="0.2">
      <c r="A157" s="3" t="s">
        <v>4</v>
      </c>
      <c r="B157" s="3" t="s">
        <v>15</v>
      </c>
      <c r="C157" s="3" t="s">
        <v>65</v>
      </c>
      <c r="D157" s="3" t="s">
        <v>186</v>
      </c>
      <c r="E157" s="3" t="s">
        <v>39</v>
      </c>
      <c r="F157" s="3">
        <v>82.6</v>
      </c>
    </row>
    <row r="158" spans="1:6" x14ac:dyDescent="0.2">
      <c r="A158" s="2" t="s">
        <v>4</v>
      </c>
      <c r="B158" s="2" t="s">
        <v>15</v>
      </c>
      <c r="C158" s="2" t="s">
        <v>66</v>
      </c>
      <c r="D158" s="2" t="s">
        <v>186</v>
      </c>
      <c r="E158" s="2" t="s">
        <v>39</v>
      </c>
      <c r="F158" s="2">
        <v>82.7</v>
      </c>
    </row>
    <row r="159" spans="1:6" x14ac:dyDescent="0.2">
      <c r="A159" s="3" t="s">
        <v>4</v>
      </c>
      <c r="B159" s="3" t="s">
        <v>15</v>
      </c>
      <c r="C159" s="3" t="s">
        <v>67</v>
      </c>
      <c r="D159" s="3" t="s">
        <v>186</v>
      </c>
      <c r="E159" s="3" t="s">
        <v>39</v>
      </c>
      <c r="F159" s="3">
        <v>82.7</v>
      </c>
    </row>
    <row r="160" spans="1:6" x14ac:dyDescent="0.2">
      <c r="A160" s="2" t="s">
        <v>4</v>
      </c>
      <c r="B160" s="2" t="s">
        <v>15</v>
      </c>
      <c r="C160" s="2" t="s">
        <v>68</v>
      </c>
      <c r="D160" s="2" t="s">
        <v>186</v>
      </c>
      <c r="E160" s="2" t="s">
        <v>39</v>
      </c>
      <c r="F160" s="2">
        <v>83.1</v>
      </c>
    </row>
    <row r="161" spans="1:6" x14ac:dyDescent="0.2">
      <c r="A161" s="3" t="s">
        <v>4</v>
      </c>
      <c r="B161" s="3" t="s">
        <v>15</v>
      </c>
      <c r="C161" s="3" t="s">
        <v>69</v>
      </c>
      <c r="D161" s="3" t="s">
        <v>186</v>
      </c>
      <c r="E161" s="3" t="s">
        <v>39</v>
      </c>
      <c r="F161" s="3">
        <v>82.6</v>
      </c>
    </row>
    <row r="162" spans="1:6" x14ac:dyDescent="0.2">
      <c r="A162" s="2" t="s">
        <v>4</v>
      </c>
      <c r="B162" s="2" t="s">
        <v>15</v>
      </c>
      <c r="C162" s="2" t="s">
        <v>70</v>
      </c>
      <c r="D162" s="2" t="s">
        <v>186</v>
      </c>
      <c r="E162" s="2" t="s">
        <v>39</v>
      </c>
      <c r="F162" s="2">
        <v>83</v>
      </c>
    </row>
    <row r="163" spans="1:6" x14ac:dyDescent="0.2">
      <c r="A163" s="3" t="s">
        <v>4</v>
      </c>
      <c r="B163" s="3" t="s">
        <v>15</v>
      </c>
      <c r="C163" s="3" t="s">
        <v>64</v>
      </c>
      <c r="D163" s="3" t="s">
        <v>187</v>
      </c>
      <c r="E163" s="3" t="s">
        <v>39</v>
      </c>
      <c r="F163" s="3">
        <v>76.3</v>
      </c>
    </row>
    <row r="164" spans="1:6" x14ac:dyDescent="0.2">
      <c r="A164" s="2" t="s">
        <v>4</v>
      </c>
      <c r="B164" s="2" t="s">
        <v>15</v>
      </c>
      <c r="C164" s="2" t="s">
        <v>65</v>
      </c>
      <c r="D164" s="2" t="s">
        <v>187</v>
      </c>
      <c r="E164" s="2" t="s">
        <v>39</v>
      </c>
      <c r="F164" s="2">
        <v>76.400000000000006</v>
      </c>
    </row>
    <row r="165" spans="1:6" x14ac:dyDescent="0.2">
      <c r="A165" s="3" t="s">
        <v>4</v>
      </c>
      <c r="B165" s="3" t="s">
        <v>15</v>
      </c>
      <c r="C165" s="3" t="s">
        <v>66</v>
      </c>
      <c r="D165" s="3" t="s">
        <v>187</v>
      </c>
      <c r="E165" s="3" t="s">
        <v>39</v>
      </c>
      <c r="F165" s="3">
        <v>76</v>
      </c>
    </row>
    <row r="166" spans="1:6" x14ac:dyDescent="0.2">
      <c r="A166" s="2" t="s">
        <v>4</v>
      </c>
      <c r="B166" s="2" t="s">
        <v>15</v>
      </c>
      <c r="C166" s="2" t="s">
        <v>67</v>
      </c>
      <c r="D166" s="2" t="s">
        <v>187</v>
      </c>
      <c r="E166" s="2" t="s">
        <v>39</v>
      </c>
      <c r="F166" s="2">
        <v>76.8</v>
      </c>
    </row>
    <row r="167" spans="1:6" x14ac:dyDescent="0.2">
      <c r="A167" s="3" t="s">
        <v>4</v>
      </c>
      <c r="B167" s="3" t="s">
        <v>15</v>
      </c>
      <c r="C167" s="3" t="s">
        <v>68</v>
      </c>
      <c r="D167" s="3" t="s">
        <v>187</v>
      </c>
      <c r="E167" s="3" t="s">
        <v>39</v>
      </c>
      <c r="F167" s="3">
        <v>76.7</v>
      </c>
    </row>
    <row r="168" spans="1:6" x14ac:dyDescent="0.2">
      <c r="A168" s="2" t="s">
        <v>4</v>
      </c>
      <c r="B168" s="2" t="s">
        <v>15</v>
      </c>
      <c r="C168" s="2" t="s">
        <v>69</v>
      </c>
      <c r="D168" s="2" t="s">
        <v>187</v>
      </c>
      <c r="E168" s="2" t="s">
        <v>39</v>
      </c>
      <c r="F168" s="2">
        <v>76.5</v>
      </c>
    </row>
    <row r="169" spans="1:6" x14ac:dyDescent="0.2">
      <c r="A169" s="3" t="s">
        <v>4</v>
      </c>
      <c r="B169" s="3" t="s">
        <v>15</v>
      </c>
      <c r="C169" s="3" t="s">
        <v>70</v>
      </c>
      <c r="D169" s="3" t="s">
        <v>187</v>
      </c>
      <c r="E169" s="3" t="s">
        <v>39</v>
      </c>
      <c r="F169" s="3">
        <v>76.8</v>
      </c>
    </row>
    <row r="170" spans="1:6" x14ac:dyDescent="0.2">
      <c r="A170" s="2" t="s">
        <v>4</v>
      </c>
      <c r="B170" s="2" t="s">
        <v>15</v>
      </c>
      <c r="C170" s="2" t="s">
        <v>64</v>
      </c>
      <c r="D170" s="2" t="s">
        <v>188</v>
      </c>
      <c r="E170" s="2" t="s">
        <v>39</v>
      </c>
      <c r="F170" s="2">
        <v>73.8</v>
      </c>
    </row>
    <row r="171" spans="1:6" x14ac:dyDescent="0.2">
      <c r="A171" s="3" t="s">
        <v>4</v>
      </c>
      <c r="B171" s="3" t="s">
        <v>15</v>
      </c>
      <c r="C171" s="3" t="s">
        <v>65</v>
      </c>
      <c r="D171" s="3" t="s">
        <v>188</v>
      </c>
      <c r="E171" s="3" t="s">
        <v>39</v>
      </c>
      <c r="F171" s="3">
        <v>74.5</v>
      </c>
    </row>
    <row r="172" spans="1:6" x14ac:dyDescent="0.2">
      <c r="A172" s="2" t="s">
        <v>4</v>
      </c>
      <c r="B172" s="2" t="s">
        <v>15</v>
      </c>
      <c r="C172" s="2" t="s">
        <v>66</v>
      </c>
      <c r="D172" s="2" t="s">
        <v>188</v>
      </c>
      <c r="E172" s="2" t="s">
        <v>39</v>
      </c>
      <c r="F172" s="2">
        <v>74.400000000000006</v>
      </c>
    </row>
    <row r="173" spans="1:6" x14ac:dyDescent="0.2">
      <c r="A173" s="3" t="s">
        <v>4</v>
      </c>
      <c r="B173" s="3" t="s">
        <v>15</v>
      </c>
      <c r="C173" s="3" t="s">
        <v>67</v>
      </c>
      <c r="D173" s="3" t="s">
        <v>188</v>
      </c>
      <c r="E173" s="3" t="s">
        <v>39</v>
      </c>
      <c r="F173" s="3">
        <v>74.8</v>
      </c>
    </row>
    <row r="174" spans="1:6" x14ac:dyDescent="0.2">
      <c r="A174" s="2" t="s">
        <v>4</v>
      </c>
      <c r="B174" s="2" t="s">
        <v>15</v>
      </c>
      <c r="C174" s="2" t="s">
        <v>68</v>
      </c>
      <c r="D174" s="2" t="s">
        <v>188</v>
      </c>
      <c r="E174" s="2" t="s">
        <v>39</v>
      </c>
      <c r="F174" s="2">
        <v>74.8</v>
      </c>
    </row>
    <row r="175" spans="1:6" x14ac:dyDescent="0.2">
      <c r="A175" s="3" t="s">
        <v>4</v>
      </c>
      <c r="B175" s="3" t="s">
        <v>15</v>
      </c>
      <c r="C175" s="3" t="s">
        <v>69</v>
      </c>
      <c r="D175" s="3" t="s">
        <v>188</v>
      </c>
      <c r="E175" s="3" t="s">
        <v>39</v>
      </c>
      <c r="F175" s="3">
        <v>74.599999999999994</v>
      </c>
    </row>
    <row r="176" spans="1:6" x14ac:dyDescent="0.2">
      <c r="A176" s="2" t="s">
        <v>4</v>
      </c>
      <c r="B176" s="2" t="s">
        <v>15</v>
      </c>
      <c r="C176" s="2" t="s">
        <v>70</v>
      </c>
      <c r="D176" s="2" t="s">
        <v>188</v>
      </c>
      <c r="E176" s="2" t="s">
        <v>39</v>
      </c>
      <c r="F176" s="2">
        <v>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86A54"/>
  </sheetPr>
  <dimension ref="A1:E141"/>
  <sheetViews>
    <sheetView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12" customWidth="1"/>
    <col min="5" max="6" width="13" customWidth="1"/>
  </cols>
  <sheetData>
    <row r="1" spans="1:5" ht="28" x14ac:dyDescent="0.2">
      <c r="A1" s="4" t="s">
        <v>237</v>
      </c>
      <c r="B1" s="4" t="s">
        <v>238</v>
      </c>
      <c r="C1" s="4" t="s">
        <v>63</v>
      </c>
      <c r="D1" s="4" t="s">
        <v>271</v>
      </c>
      <c r="E1" s="4" t="s">
        <v>272</v>
      </c>
    </row>
    <row r="2" spans="1:5" x14ac:dyDescent="0.2">
      <c r="A2" s="5" t="s">
        <v>0</v>
      </c>
      <c r="B2" s="2" t="s">
        <v>15</v>
      </c>
      <c r="C2" s="2" t="s">
        <v>64</v>
      </c>
      <c r="D2" s="2" t="s">
        <v>158</v>
      </c>
      <c r="E2" s="2">
        <v>34.6</v>
      </c>
    </row>
    <row r="3" spans="1:5" x14ac:dyDescent="0.2">
      <c r="A3" s="6" t="s">
        <v>0</v>
      </c>
      <c r="B3" s="3" t="s">
        <v>15</v>
      </c>
      <c r="C3" s="3" t="s">
        <v>64</v>
      </c>
      <c r="D3" s="3" t="s">
        <v>159</v>
      </c>
      <c r="E3" s="3">
        <v>41.9</v>
      </c>
    </row>
    <row r="4" spans="1:5" x14ac:dyDescent="0.2">
      <c r="A4" s="5" t="s">
        <v>0</v>
      </c>
      <c r="B4" s="2" t="s">
        <v>15</v>
      </c>
      <c r="C4" s="2" t="s">
        <v>64</v>
      </c>
      <c r="D4" s="2" t="s">
        <v>160</v>
      </c>
      <c r="E4" s="2">
        <v>15.2</v>
      </c>
    </row>
    <row r="5" spans="1:5" x14ac:dyDescent="0.2">
      <c r="A5" s="6" t="s">
        <v>0</v>
      </c>
      <c r="B5" s="3" t="s">
        <v>15</v>
      </c>
      <c r="C5" s="3" t="s">
        <v>64</v>
      </c>
      <c r="D5" s="3" t="s">
        <v>161</v>
      </c>
      <c r="E5" s="3">
        <v>7.9</v>
      </c>
    </row>
    <row r="6" spans="1:5" x14ac:dyDescent="0.2">
      <c r="A6" s="5" t="s">
        <v>0</v>
      </c>
      <c r="B6" s="2" t="s">
        <v>15</v>
      </c>
      <c r="C6" s="2" t="s">
        <v>65</v>
      </c>
      <c r="D6" s="2" t="s">
        <v>158</v>
      </c>
      <c r="E6" s="2">
        <v>34.700000000000003</v>
      </c>
    </row>
    <row r="7" spans="1:5" x14ac:dyDescent="0.2">
      <c r="A7" s="6" t="s">
        <v>0</v>
      </c>
      <c r="B7" s="3" t="s">
        <v>15</v>
      </c>
      <c r="C7" s="3" t="s">
        <v>65</v>
      </c>
      <c r="D7" s="3" t="s">
        <v>159</v>
      </c>
      <c r="E7" s="3">
        <v>42.4</v>
      </c>
    </row>
    <row r="8" spans="1:5" x14ac:dyDescent="0.2">
      <c r="A8" s="5" t="s">
        <v>0</v>
      </c>
      <c r="B8" s="2" t="s">
        <v>15</v>
      </c>
      <c r="C8" s="2" t="s">
        <v>65</v>
      </c>
      <c r="D8" s="2" t="s">
        <v>160</v>
      </c>
      <c r="E8" s="2">
        <v>14.6</v>
      </c>
    </row>
    <row r="9" spans="1:5" x14ac:dyDescent="0.2">
      <c r="A9" s="6" t="s">
        <v>0</v>
      </c>
      <c r="B9" s="3" t="s">
        <v>15</v>
      </c>
      <c r="C9" s="3" t="s">
        <v>65</v>
      </c>
      <c r="D9" s="3" t="s">
        <v>161</v>
      </c>
      <c r="E9" s="3">
        <v>8.3000000000000007</v>
      </c>
    </row>
    <row r="10" spans="1:5" x14ac:dyDescent="0.2">
      <c r="A10" s="5" t="s">
        <v>0</v>
      </c>
      <c r="B10" s="2" t="s">
        <v>15</v>
      </c>
      <c r="C10" s="2" t="s">
        <v>66</v>
      </c>
      <c r="D10" s="2" t="s">
        <v>158</v>
      </c>
      <c r="E10" s="2">
        <v>34.6</v>
      </c>
    </row>
    <row r="11" spans="1:5" x14ac:dyDescent="0.2">
      <c r="A11" s="6" t="s">
        <v>0</v>
      </c>
      <c r="B11" s="3" t="s">
        <v>15</v>
      </c>
      <c r="C11" s="3" t="s">
        <v>66</v>
      </c>
      <c r="D11" s="3" t="s">
        <v>159</v>
      </c>
      <c r="E11" s="3">
        <v>41.6</v>
      </c>
    </row>
    <row r="12" spans="1:5" x14ac:dyDescent="0.2">
      <c r="A12" s="5" t="s">
        <v>0</v>
      </c>
      <c r="B12" s="2" t="s">
        <v>15</v>
      </c>
      <c r="C12" s="2" t="s">
        <v>66</v>
      </c>
      <c r="D12" s="2" t="s">
        <v>160</v>
      </c>
      <c r="E12" s="2">
        <v>15.2</v>
      </c>
    </row>
    <row r="13" spans="1:5" x14ac:dyDescent="0.2">
      <c r="A13" s="6" t="s">
        <v>0</v>
      </c>
      <c r="B13" s="3" t="s">
        <v>15</v>
      </c>
      <c r="C13" s="3" t="s">
        <v>66</v>
      </c>
      <c r="D13" s="3" t="s">
        <v>161</v>
      </c>
      <c r="E13" s="3">
        <v>8.3000000000000007</v>
      </c>
    </row>
    <row r="14" spans="1:5" x14ac:dyDescent="0.2">
      <c r="A14" s="5" t="s">
        <v>0</v>
      </c>
      <c r="B14" s="2" t="s">
        <v>15</v>
      </c>
      <c r="C14" s="2" t="s">
        <v>67</v>
      </c>
      <c r="D14" s="2" t="s">
        <v>158</v>
      </c>
      <c r="E14" s="2">
        <v>35.1</v>
      </c>
    </row>
    <row r="15" spans="1:5" x14ac:dyDescent="0.2">
      <c r="A15" s="6" t="s">
        <v>0</v>
      </c>
      <c r="B15" s="3" t="s">
        <v>15</v>
      </c>
      <c r="C15" s="3" t="s">
        <v>67</v>
      </c>
      <c r="D15" s="3" t="s">
        <v>159</v>
      </c>
      <c r="E15" s="3">
        <v>42.1</v>
      </c>
    </row>
    <row r="16" spans="1:5" x14ac:dyDescent="0.2">
      <c r="A16" s="5" t="s">
        <v>0</v>
      </c>
      <c r="B16" s="2" t="s">
        <v>15</v>
      </c>
      <c r="C16" s="2" t="s">
        <v>67</v>
      </c>
      <c r="D16" s="2" t="s">
        <v>160</v>
      </c>
      <c r="E16" s="2">
        <v>15.1</v>
      </c>
    </row>
    <row r="17" spans="1:5" x14ac:dyDescent="0.2">
      <c r="A17" s="6" t="s">
        <v>0</v>
      </c>
      <c r="B17" s="3" t="s">
        <v>15</v>
      </c>
      <c r="C17" s="3" t="s">
        <v>67</v>
      </c>
      <c r="D17" s="3" t="s">
        <v>161</v>
      </c>
      <c r="E17" s="3">
        <v>7.8</v>
      </c>
    </row>
    <row r="18" spans="1:5" x14ac:dyDescent="0.2">
      <c r="A18" s="5" t="s">
        <v>0</v>
      </c>
      <c r="B18" s="2" t="s">
        <v>15</v>
      </c>
      <c r="C18" s="2" t="s">
        <v>68</v>
      </c>
      <c r="D18" s="2" t="s">
        <v>158</v>
      </c>
      <c r="E18" s="2">
        <v>34.6</v>
      </c>
    </row>
    <row r="19" spans="1:5" x14ac:dyDescent="0.2">
      <c r="A19" s="6" t="s">
        <v>0</v>
      </c>
      <c r="B19" s="3" t="s">
        <v>15</v>
      </c>
      <c r="C19" s="3" t="s">
        <v>68</v>
      </c>
      <c r="D19" s="3" t="s">
        <v>159</v>
      </c>
      <c r="E19" s="3">
        <v>41.9</v>
      </c>
    </row>
    <row r="20" spans="1:5" x14ac:dyDescent="0.2">
      <c r="A20" s="5" t="s">
        <v>0</v>
      </c>
      <c r="B20" s="2" t="s">
        <v>15</v>
      </c>
      <c r="C20" s="2" t="s">
        <v>68</v>
      </c>
      <c r="D20" s="2" t="s">
        <v>160</v>
      </c>
      <c r="E20" s="2">
        <v>15.2</v>
      </c>
    </row>
    <row r="21" spans="1:5" x14ac:dyDescent="0.2">
      <c r="A21" s="6" t="s">
        <v>0</v>
      </c>
      <c r="B21" s="3" t="s">
        <v>15</v>
      </c>
      <c r="C21" s="3" t="s">
        <v>68</v>
      </c>
      <c r="D21" s="3" t="s">
        <v>161</v>
      </c>
      <c r="E21" s="3">
        <v>8.3000000000000007</v>
      </c>
    </row>
    <row r="22" spans="1:5" x14ac:dyDescent="0.2">
      <c r="A22" s="5" t="s">
        <v>0</v>
      </c>
      <c r="B22" s="2" t="s">
        <v>15</v>
      </c>
      <c r="C22" s="2" t="s">
        <v>69</v>
      </c>
      <c r="D22" s="2" t="s">
        <v>158</v>
      </c>
      <c r="E22" s="2">
        <v>35.4</v>
      </c>
    </row>
    <row r="23" spans="1:5" x14ac:dyDescent="0.2">
      <c r="A23" s="6" t="s">
        <v>0</v>
      </c>
      <c r="B23" s="3" t="s">
        <v>15</v>
      </c>
      <c r="C23" s="3" t="s">
        <v>69</v>
      </c>
      <c r="D23" s="3" t="s">
        <v>159</v>
      </c>
      <c r="E23" s="3">
        <v>42.2</v>
      </c>
    </row>
    <row r="24" spans="1:5" x14ac:dyDescent="0.2">
      <c r="A24" s="5" t="s">
        <v>0</v>
      </c>
      <c r="B24" s="2" t="s">
        <v>15</v>
      </c>
      <c r="C24" s="2" t="s">
        <v>69</v>
      </c>
      <c r="D24" s="2" t="s">
        <v>160</v>
      </c>
      <c r="E24" s="2">
        <v>15.5</v>
      </c>
    </row>
    <row r="25" spans="1:5" x14ac:dyDescent="0.2">
      <c r="A25" s="6" t="s">
        <v>0</v>
      </c>
      <c r="B25" s="3" t="s">
        <v>15</v>
      </c>
      <c r="C25" s="3" t="s">
        <v>69</v>
      </c>
      <c r="D25" s="3" t="s">
        <v>161</v>
      </c>
      <c r="E25" s="3">
        <v>8.1</v>
      </c>
    </row>
    <row r="26" spans="1:5" x14ac:dyDescent="0.2">
      <c r="A26" s="5" t="s">
        <v>0</v>
      </c>
      <c r="B26" s="2" t="s">
        <v>15</v>
      </c>
      <c r="C26" s="2" t="s">
        <v>70</v>
      </c>
      <c r="D26" s="2" t="s">
        <v>158</v>
      </c>
      <c r="E26" s="2">
        <v>34.9</v>
      </c>
    </row>
    <row r="27" spans="1:5" x14ac:dyDescent="0.2">
      <c r="A27" s="6" t="s">
        <v>0</v>
      </c>
      <c r="B27" s="3" t="s">
        <v>15</v>
      </c>
      <c r="C27" s="3" t="s">
        <v>70</v>
      </c>
      <c r="D27" s="3" t="s">
        <v>159</v>
      </c>
      <c r="E27" s="3">
        <v>42.1</v>
      </c>
    </row>
    <row r="28" spans="1:5" x14ac:dyDescent="0.2">
      <c r="A28" s="5" t="s">
        <v>0</v>
      </c>
      <c r="B28" s="2" t="s">
        <v>15</v>
      </c>
      <c r="C28" s="2" t="s">
        <v>70</v>
      </c>
      <c r="D28" s="2" t="s">
        <v>160</v>
      </c>
      <c r="E28" s="2">
        <v>14.7</v>
      </c>
    </row>
    <row r="29" spans="1:5" x14ac:dyDescent="0.2">
      <c r="A29" s="6" t="s">
        <v>0</v>
      </c>
      <c r="B29" s="3" t="s">
        <v>15</v>
      </c>
      <c r="C29" s="3" t="s">
        <v>70</v>
      </c>
      <c r="D29" s="3" t="s">
        <v>161</v>
      </c>
      <c r="E29" s="3">
        <v>8.1999999999999993</v>
      </c>
    </row>
    <row r="30" spans="1:5" x14ac:dyDescent="0.2">
      <c r="A30" s="2" t="s">
        <v>1</v>
      </c>
      <c r="B30" s="2" t="s">
        <v>15</v>
      </c>
      <c r="C30" s="2" t="s">
        <v>64</v>
      </c>
      <c r="D30" s="2" t="s">
        <v>158</v>
      </c>
      <c r="E30" s="2">
        <v>27.7</v>
      </c>
    </row>
    <row r="31" spans="1:5" x14ac:dyDescent="0.2">
      <c r="A31" s="3" t="s">
        <v>1</v>
      </c>
      <c r="B31" s="3" t="s">
        <v>15</v>
      </c>
      <c r="C31" s="3" t="s">
        <v>64</v>
      </c>
      <c r="D31" s="3" t="s">
        <v>159</v>
      </c>
      <c r="E31" s="3">
        <v>43.6</v>
      </c>
    </row>
    <row r="32" spans="1:5" x14ac:dyDescent="0.2">
      <c r="A32" s="2" t="s">
        <v>1</v>
      </c>
      <c r="B32" s="2" t="s">
        <v>15</v>
      </c>
      <c r="C32" s="2" t="s">
        <v>64</v>
      </c>
      <c r="D32" s="2" t="s">
        <v>160</v>
      </c>
      <c r="E32" s="2">
        <v>20.3</v>
      </c>
    </row>
    <row r="33" spans="1:5" x14ac:dyDescent="0.2">
      <c r="A33" s="3" t="s">
        <v>1</v>
      </c>
      <c r="B33" s="3" t="s">
        <v>15</v>
      </c>
      <c r="C33" s="3" t="s">
        <v>64</v>
      </c>
      <c r="D33" s="3" t="s">
        <v>161</v>
      </c>
      <c r="E33" s="3">
        <v>7.9</v>
      </c>
    </row>
    <row r="34" spans="1:5" x14ac:dyDescent="0.2">
      <c r="A34" s="2" t="s">
        <v>1</v>
      </c>
      <c r="B34" s="2" t="s">
        <v>15</v>
      </c>
      <c r="C34" s="2" t="s">
        <v>65</v>
      </c>
      <c r="D34" s="2" t="s">
        <v>158</v>
      </c>
      <c r="E34" s="2">
        <v>28.3</v>
      </c>
    </row>
    <row r="35" spans="1:5" x14ac:dyDescent="0.2">
      <c r="A35" s="3" t="s">
        <v>1</v>
      </c>
      <c r="B35" s="3" t="s">
        <v>15</v>
      </c>
      <c r="C35" s="3" t="s">
        <v>65</v>
      </c>
      <c r="D35" s="3" t="s">
        <v>159</v>
      </c>
      <c r="E35" s="3">
        <v>44.1</v>
      </c>
    </row>
    <row r="36" spans="1:5" x14ac:dyDescent="0.2">
      <c r="A36" s="2" t="s">
        <v>1</v>
      </c>
      <c r="B36" s="2" t="s">
        <v>15</v>
      </c>
      <c r="C36" s="2" t="s">
        <v>65</v>
      </c>
      <c r="D36" s="2" t="s">
        <v>160</v>
      </c>
      <c r="E36" s="2">
        <v>20.3</v>
      </c>
    </row>
    <row r="37" spans="1:5" x14ac:dyDescent="0.2">
      <c r="A37" s="3" t="s">
        <v>1</v>
      </c>
      <c r="B37" s="3" t="s">
        <v>15</v>
      </c>
      <c r="C37" s="3" t="s">
        <v>65</v>
      </c>
      <c r="D37" s="3" t="s">
        <v>161</v>
      </c>
      <c r="E37" s="3">
        <v>8.3000000000000007</v>
      </c>
    </row>
    <row r="38" spans="1:5" x14ac:dyDescent="0.2">
      <c r="A38" s="2" t="s">
        <v>1</v>
      </c>
      <c r="B38" s="2" t="s">
        <v>15</v>
      </c>
      <c r="C38" s="2" t="s">
        <v>66</v>
      </c>
      <c r="D38" s="2" t="s">
        <v>158</v>
      </c>
      <c r="E38" s="2">
        <v>28.5</v>
      </c>
    </row>
    <row r="39" spans="1:5" x14ac:dyDescent="0.2">
      <c r="A39" s="3" t="s">
        <v>1</v>
      </c>
      <c r="B39" s="3" t="s">
        <v>15</v>
      </c>
      <c r="C39" s="3" t="s">
        <v>66</v>
      </c>
      <c r="D39" s="3" t="s">
        <v>159</v>
      </c>
      <c r="E39" s="3">
        <v>44.3</v>
      </c>
    </row>
    <row r="40" spans="1:5" x14ac:dyDescent="0.2">
      <c r="A40" s="2" t="s">
        <v>1</v>
      </c>
      <c r="B40" s="2" t="s">
        <v>15</v>
      </c>
      <c r="C40" s="2" t="s">
        <v>66</v>
      </c>
      <c r="D40" s="2" t="s">
        <v>160</v>
      </c>
      <c r="E40" s="2">
        <v>20.100000000000001</v>
      </c>
    </row>
    <row r="41" spans="1:5" x14ac:dyDescent="0.2">
      <c r="A41" s="3" t="s">
        <v>1</v>
      </c>
      <c r="B41" s="3" t="s">
        <v>15</v>
      </c>
      <c r="C41" s="3" t="s">
        <v>66</v>
      </c>
      <c r="D41" s="3" t="s">
        <v>161</v>
      </c>
      <c r="E41" s="3">
        <v>8.1</v>
      </c>
    </row>
    <row r="42" spans="1:5" x14ac:dyDescent="0.2">
      <c r="A42" s="2" t="s">
        <v>1</v>
      </c>
      <c r="B42" s="2" t="s">
        <v>15</v>
      </c>
      <c r="C42" s="2" t="s">
        <v>67</v>
      </c>
      <c r="D42" s="2" t="s">
        <v>158</v>
      </c>
      <c r="E42" s="2">
        <v>27.5</v>
      </c>
    </row>
    <row r="43" spans="1:5" x14ac:dyDescent="0.2">
      <c r="A43" s="3" t="s">
        <v>1</v>
      </c>
      <c r="B43" s="3" t="s">
        <v>15</v>
      </c>
      <c r="C43" s="3" t="s">
        <v>67</v>
      </c>
      <c r="D43" s="3" t="s">
        <v>159</v>
      </c>
      <c r="E43" s="3">
        <v>44.4</v>
      </c>
    </row>
    <row r="44" spans="1:5" x14ac:dyDescent="0.2">
      <c r="A44" s="2" t="s">
        <v>1</v>
      </c>
      <c r="B44" s="2" t="s">
        <v>15</v>
      </c>
      <c r="C44" s="2" t="s">
        <v>67</v>
      </c>
      <c r="D44" s="2" t="s">
        <v>160</v>
      </c>
      <c r="E44" s="2">
        <v>20.3</v>
      </c>
    </row>
    <row r="45" spans="1:5" x14ac:dyDescent="0.2">
      <c r="A45" s="3" t="s">
        <v>1</v>
      </c>
      <c r="B45" s="3" t="s">
        <v>15</v>
      </c>
      <c r="C45" s="3" t="s">
        <v>67</v>
      </c>
      <c r="D45" s="3" t="s">
        <v>161</v>
      </c>
      <c r="E45" s="3">
        <v>7.8</v>
      </c>
    </row>
    <row r="46" spans="1:5" x14ac:dyDescent="0.2">
      <c r="A46" s="2" t="s">
        <v>1</v>
      </c>
      <c r="B46" s="2" t="s">
        <v>15</v>
      </c>
      <c r="C46" s="2" t="s">
        <v>68</v>
      </c>
      <c r="D46" s="2" t="s">
        <v>158</v>
      </c>
      <c r="E46" s="2">
        <v>27.7</v>
      </c>
    </row>
    <row r="47" spans="1:5" x14ac:dyDescent="0.2">
      <c r="A47" s="3" t="s">
        <v>1</v>
      </c>
      <c r="B47" s="3" t="s">
        <v>15</v>
      </c>
      <c r="C47" s="3" t="s">
        <v>68</v>
      </c>
      <c r="D47" s="3" t="s">
        <v>159</v>
      </c>
      <c r="E47" s="3">
        <v>44.2</v>
      </c>
    </row>
    <row r="48" spans="1:5" x14ac:dyDescent="0.2">
      <c r="A48" s="2" t="s">
        <v>1</v>
      </c>
      <c r="B48" s="2" t="s">
        <v>15</v>
      </c>
      <c r="C48" s="2" t="s">
        <v>68</v>
      </c>
      <c r="D48" s="2" t="s">
        <v>160</v>
      </c>
      <c r="E48" s="2">
        <v>19.8</v>
      </c>
    </row>
    <row r="49" spans="1:5" x14ac:dyDescent="0.2">
      <c r="A49" s="3" t="s">
        <v>1</v>
      </c>
      <c r="B49" s="3" t="s">
        <v>15</v>
      </c>
      <c r="C49" s="3" t="s">
        <v>68</v>
      </c>
      <c r="D49" s="3" t="s">
        <v>161</v>
      </c>
      <c r="E49" s="3">
        <v>7.8</v>
      </c>
    </row>
    <row r="50" spans="1:5" x14ac:dyDescent="0.2">
      <c r="A50" s="2" t="s">
        <v>1</v>
      </c>
      <c r="B50" s="2" t="s">
        <v>15</v>
      </c>
      <c r="C50" s="2" t="s">
        <v>69</v>
      </c>
      <c r="D50" s="2" t="s">
        <v>158</v>
      </c>
      <c r="E50" s="2">
        <v>27.5</v>
      </c>
    </row>
    <row r="51" spans="1:5" x14ac:dyDescent="0.2">
      <c r="A51" s="3" t="s">
        <v>1</v>
      </c>
      <c r="B51" s="3" t="s">
        <v>15</v>
      </c>
      <c r="C51" s="3" t="s">
        <v>69</v>
      </c>
      <c r="D51" s="3" t="s">
        <v>159</v>
      </c>
      <c r="E51" s="3">
        <v>44.4</v>
      </c>
    </row>
    <row r="52" spans="1:5" x14ac:dyDescent="0.2">
      <c r="A52" s="2" t="s">
        <v>1</v>
      </c>
      <c r="B52" s="2" t="s">
        <v>15</v>
      </c>
      <c r="C52" s="2" t="s">
        <v>69</v>
      </c>
      <c r="D52" s="2" t="s">
        <v>160</v>
      </c>
      <c r="E52" s="2">
        <v>20.100000000000001</v>
      </c>
    </row>
    <row r="53" spans="1:5" x14ac:dyDescent="0.2">
      <c r="A53" s="3" t="s">
        <v>1</v>
      </c>
      <c r="B53" s="3" t="s">
        <v>15</v>
      </c>
      <c r="C53" s="3" t="s">
        <v>69</v>
      </c>
      <c r="D53" s="3" t="s">
        <v>161</v>
      </c>
      <c r="E53" s="3">
        <v>7.9</v>
      </c>
    </row>
    <row r="54" spans="1:5" x14ac:dyDescent="0.2">
      <c r="A54" s="2" t="s">
        <v>1</v>
      </c>
      <c r="B54" s="2" t="s">
        <v>15</v>
      </c>
      <c r="C54" s="2" t="s">
        <v>70</v>
      </c>
      <c r="D54" s="2" t="s">
        <v>158</v>
      </c>
      <c r="E54" s="2">
        <v>27.6</v>
      </c>
    </row>
    <row r="55" spans="1:5" x14ac:dyDescent="0.2">
      <c r="A55" s="3" t="s">
        <v>1</v>
      </c>
      <c r="B55" s="3" t="s">
        <v>15</v>
      </c>
      <c r="C55" s="3" t="s">
        <v>70</v>
      </c>
      <c r="D55" s="3" t="s">
        <v>159</v>
      </c>
      <c r="E55" s="3">
        <v>44.1</v>
      </c>
    </row>
    <row r="56" spans="1:5" x14ac:dyDescent="0.2">
      <c r="A56" s="2" t="s">
        <v>1</v>
      </c>
      <c r="B56" s="2" t="s">
        <v>15</v>
      </c>
      <c r="C56" s="2" t="s">
        <v>70</v>
      </c>
      <c r="D56" s="2" t="s">
        <v>160</v>
      </c>
      <c r="E56" s="2">
        <v>19.5</v>
      </c>
    </row>
    <row r="57" spans="1:5" x14ac:dyDescent="0.2">
      <c r="A57" s="3" t="s">
        <v>1</v>
      </c>
      <c r="B57" s="3" t="s">
        <v>15</v>
      </c>
      <c r="C57" s="3" t="s">
        <v>70</v>
      </c>
      <c r="D57" s="3" t="s">
        <v>161</v>
      </c>
      <c r="E57" s="3">
        <v>8.1999999999999993</v>
      </c>
    </row>
    <row r="58" spans="1:5" x14ac:dyDescent="0.2">
      <c r="A58" s="2" t="s">
        <v>2</v>
      </c>
      <c r="B58" s="2" t="s">
        <v>15</v>
      </c>
      <c r="C58" s="2" t="s">
        <v>64</v>
      </c>
      <c r="D58" s="2" t="s">
        <v>158</v>
      </c>
      <c r="E58" s="2">
        <v>37.700000000000003</v>
      </c>
    </row>
    <row r="59" spans="1:5" x14ac:dyDescent="0.2">
      <c r="A59" s="3" t="s">
        <v>2</v>
      </c>
      <c r="B59" s="3" t="s">
        <v>15</v>
      </c>
      <c r="C59" s="3" t="s">
        <v>64</v>
      </c>
      <c r="D59" s="3" t="s">
        <v>162</v>
      </c>
      <c r="E59" s="3">
        <v>44.9</v>
      </c>
    </row>
    <row r="60" spans="1:5" x14ac:dyDescent="0.2">
      <c r="A60" s="2" t="s">
        <v>2</v>
      </c>
      <c r="B60" s="2" t="s">
        <v>15</v>
      </c>
      <c r="C60" s="2" t="s">
        <v>64</v>
      </c>
      <c r="D60" s="2" t="s">
        <v>163</v>
      </c>
      <c r="E60" s="2">
        <v>11.8</v>
      </c>
    </row>
    <row r="61" spans="1:5" x14ac:dyDescent="0.2">
      <c r="A61" s="3" t="s">
        <v>2</v>
      </c>
      <c r="B61" s="3" t="s">
        <v>15</v>
      </c>
      <c r="C61" s="3" t="s">
        <v>64</v>
      </c>
      <c r="D61" s="3" t="s">
        <v>164</v>
      </c>
      <c r="E61" s="3">
        <v>4.9000000000000004</v>
      </c>
    </row>
    <row r="62" spans="1:5" x14ac:dyDescent="0.2">
      <c r="A62" s="2" t="s">
        <v>2</v>
      </c>
      <c r="B62" s="2" t="s">
        <v>15</v>
      </c>
      <c r="C62" s="2" t="s">
        <v>65</v>
      </c>
      <c r="D62" s="2" t="s">
        <v>158</v>
      </c>
      <c r="E62" s="2">
        <v>38.200000000000003</v>
      </c>
    </row>
    <row r="63" spans="1:5" x14ac:dyDescent="0.2">
      <c r="A63" s="3" t="s">
        <v>2</v>
      </c>
      <c r="B63" s="3" t="s">
        <v>15</v>
      </c>
      <c r="C63" s="3" t="s">
        <v>65</v>
      </c>
      <c r="D63" s="3" t="s">
        <v>162</v>
      </c>
      <c r="E63" s="3">
        <v>45.3</v>
      </c>
    </row>
    <row r="64" spans="1:5" x14ac:dyDescent="0.2">
      <c r="A64" s="2" t="s">
        <v>2</v>
      </c>
      <c r="B64" s="2" t="s">
        <v>15</v>
      </c>
      <c r="C64" s="2" t="s">
        <v>65</v>
      </c>
      <c r="D64" s="2" t="s">
        <v>163</v>
      </c>
      <c r="E64" s="2">
        <v>12.1</v>
      </c>
    </row>
    <row r="65" spans="1:5" x14ac:dyDescent="0.2">
      <c r="A65" s="3" t="s">
        <v>2</v>
      </c>
      <c r="B65" s="3" t="s">
        <v>15</v>
      </c>
      <c r="C65" s="3" t="s">
        <v>65</v>
      </c>
      <c r="D65" s="3" t="s">
        <v>164</v>
      </c>
      <c r="E65" s="3">
        <v>4.5999999999999996</v>
      </c>
    </row>
    <row r="66" spans="1:5" x14ac:dyDescent="0.2">
      <c r="A66" s="2" t="s">
        <v>2</v>
      </c>
      <c r="B66" s="2" t="s">
        <v>15</v>
      </c>
      <c r="C66" s="2" t="s">
        <v>66</v>
      </c>
      <c r="D66" s="2" t="s">
        <v>158</v>
      </c>
      <c r="E66" s="2">
        <v>37.6</v>
      </c>
    </row>
    <row r="67" spans="1:5" x14ac:dyDescent="0.2">
      <c r="A67" s="3" t="s">
        <v>2</v>
      </c>
      <c r="B67" s="3" t="s">
        <v>15</v>
      </c>
      <c r="C67" s="3" t="s">
        <v>66</v>
      </c>
      <c r="D67" s="3" t="s">
        <v>162</v>
      </c>
      <c r="E67" s="3">
        <v>44.7</v>
      </c>
    </row>
    <row r="68" spans="1:5" x14ac:dyDescent="0.2">
      <c r="A68" s="2" t="s">
        <v>2</v>
      </c>
      <c r="B68" s="2" t="s">
        <v>15</v>
      </c>
      <c r="C68" s="2" t="s">
        <v>66</v>
      </c>
      <c r="D68" s="2" t="s">
        <v>163</v>
      </c>
      <c r="E68" s="2">
        <v>12.1</v>
      </c>
    </row>
    <row r="69" spans="1:5" x14ac:dyDescent="0.2">
      <c r="A69" s="3" t="s">
        <v>2</v>
      </c>
      <c r="B69" s="3" t="s">
        <v>15</v>
      </c>
      <c r="C69" s="3" t="s">
        <v>66</v>
      </c>
      <c r="D69" s="3" t="s">
        <v>164</v>
      </c>
      <c r="E69" s="3">
        <v>5.2</v>
      </c>
    </row>
    <row r="70" spans="1:5" x14ac:dyDescent="0.2">
      <c r="A70" s="2" t="s">
        <v>2</v>
      </c>
      <c r="B70" s="2" t="s">
        <v>15</v>
      </c>
      <c r="C70" s="2" t="s">
        <v>67</v>
      </c>
      <c r="D70" s="2" t="s">
        <v>158</v>
      </c>
      <c r="E70" s="2">
        <v>37.799999999999997</v>
      </c>
    </row>
    <row r="71" spans="1:5" x14ac:dyDescent="0.2">
      <c r="A71" s="3" t="s">
        <v>2</v>
      </c>
      <c r="B71" s="3" t="s">
        <v>15</v>
      </c>
      <c r="C71" s="3" t="s">
        <v>67</v>
      </c>
      <c r="D71" s="3" t="s">
        <v>162</v>
      </c>
      <c r="E71" s="3">
        <v>45.2</v>
      </c>
    </row>
    <row r="72" spans="1:5" x14ac:dyDescent="0.2">
      <c r="A72" s="2" t="s">
        <v>2</v>
      </c>
      <c r="B72" s="2" t="s">
        <v>15</v>
      </c>
      <c r="C72" s="2" t="s">
        <v>67</v>
      </c>
      <c r="D72" s="2" t="s">
        <v>163</v>
      </c>
      <c r="E72" s="2">
        <v>12</v>
      </c>
    </row>
    <row r="73" spans="1:5" x14ac:dyDescent="0.2">
      <c r="A73" s="3" t="s">
        <v>2</v>
      </c>
      <c r="B73" s="3" t="s">
        <v>15</v>
      </c>
      <c r="C73" s="3" t="s">
        <v>67</v>
      </c>
      <c r="D73" s="3" t="s">
        <v>164</v>
      </c>
      <c r="E73" s="3">
        <v>4.9000000000000004</v>
      </c>
    </row>
    <row r="74" spans="1:5" x14ac:dyDescent="0.2">
      <c r="A74" s="2" t="s">
        <v>2</v>
      </c>
      <c r="B74" s="2" t="s">
        <v>15</v>
      </c>
      <c r="C74" s="2" t="s">
        <v>68</v>
      </c>
      <c r="D74" s="2" t="s">
        <v>158</v>
      </c>
      <c r="E74" s="2">
        <v>37.799999999999997</v>
      </c>
    </row>
    <row r="75" spans="1:5" x14ac:dyDescent="0.2">
      <c r="A75" s="3" t="s">
        <v>2</v>
      </c>
      <c r="B75" s="3" t="s">
        <v>15</v>
      </c>
      <c r="C75" s="3" t="s">
        <v>68</v>
      </c>
      <c r="D75" s="3" t="s">
        <v>162</v>
      </c>
      <c r="E75" s="3">
        <v>45.3</v>
      </c>
    </row>
    <row r="76" spans="1:5" x14ac:dyDescent="0.2">
      <c r="A76" s="2" t="s">
        <v>2</v>
      </c>
      <c r="B76" s="2" t="s">
        <v>15</v>
      </c>
      <c r="C76" s="2" t="s">
        <v>68</v>
      </c>
      <c r="D76" s="2" t="s">
        <v>163</v>
      </c>
      <c r="E76" s="2">
        <v>11.6</v>
      </c>
    </row>
    <row r="77" spans="1:5" x14ac:dyDescent="0.2">
      <c r="A77" s="3" t="s">
        <v>2</v>
      </c>
      <c r="B77" s="3" t="s">
        <v>15</v>
      </c>
      <c r="C77" s="3" t="s">
        <v>68</v>
      </c>
      <c r="D77" s="3" t="s">
        <v>164</v>
      </c>
      <c r="E77" s="3">
        <v>4.9000000000000004</v>
      </c>
    </row>
    <row r="78" spans="1:5" x14ac:dyDescent="0.2">
      <c r="A78" s="2" t="s">
        <v>2</v>
      </c>
      <c r="B78" s="2" t="s">
        <v>15</v>
      </c>
      <c r="C78" s="2" t="s">
        <v>69</v>
      </c>
      <c r="D78" s="2" t="s">
        <v>158</v>
      </c>
      <c r="E78" s="2">
        <v>37.799999999999997</v>
      </c>
    </row>
    <row r="79" spans="1:5" x14ac:dyDescent="0.2">
      <c r="A79" s="3" t="s">
        <v>2</v>
      </c>
      <c r="B79" s="3" t="s">
        <v>15</v>
      </c>
      <c r="C79" s="3" t="s">
        <v>69</v>
      </c>
      <c r="D79" s="3" t="s">
        <v>162</v>
      </c>
      <c r="E79" s="3">
        <v>45.2</v>
      </c>
    </row>
    <row r="80" spans="1:5" x14ac:dyDescent="0.2">
      <c r="A80" s="2" t="s">
        <v>2</v>
      </c>
      <c r="B80" s="2" t="s">
        <v>15</v>
      </c>
      <c r="C80" s="2" t="s">
        <v>69</v>
      </c>
      <c r="D80" s="2" t="s">
        <v>163</v>
      </c>
      <c r="E80" s="2">
        <v>12</v>
      </c>
    </row>
    <row r="81" spans="1:5" x14ac:dyDescent="0.2">
      <c r="A81" s="3" t="s">
        <v>2</v>
      </c>
      <c r="B81" s="3" t="s">
        <v>15</v>
      </c>
      <c r="C81" s="3" t="s">
        <v>69</v>
      </c>
      <c r="D81" s="3" t="s">
        <v>164</v>
      </c>
      <c r="E81" s="3">
        <v>5.2</v>
      </c>
    </row>
    <row r="82" spans="1:5" x14ac:dyDescent="0.2">
      <c r="A82" s="2" t="s">
        <v>2</v>
      </c>
      <c r="B82" s="2" t="s">
        <v>15</v>
      </c>
      <c r="C82" s="2" t="s">
        <v>70</v>
      </c>
      <c r="D82" s="2" t="s">
        <v>158</v>
      </c>
      <c r="E82" s="2">
        <v>37.5</v>
      </c>
    </row>
    <row r="83" spans="1:5" x14ac:dyDescent="0.2">
      <c r="A83" s="3" t="s">
        <v>2</v>
      </c>
      <c r="B83" s="3" t="s">
        <v>15</v>
      </c>
      <c r="C83" s="3" t="s">
        <v>70</v>
      </c>
      <c r="D83" s="3" t="s">
        <v>162</v>
      </c>
      <c r="E83" s="3">
        <v>44.9</v>
      </c>
    </row>
    <row r="84" spans="1:5" x14ac:dyDescent="0.2">
      <c r="A84" s="2" t="s">
        <v>2</v>
      </c>
      <c r="B84" s="2" t="s">
        <v>15</v>
      </c>
      <c r="C84" s="2" t="s">
        <v>70</v>
      </c>
      <c r="D84" s="2" t="s">
        <v>163</v>
      </c>
      <c r="E84" s="2">
        <v>12.1</v>
      </c>
    </row>
    <row r="85" spans="1:5" x14ac:dyDescent="0.2">
      <c r="A85" s="3" t="s">
        <v>2</v>
      </c>
      <c r="B85" s="3" t="s">
        <v>15</v>
      </c>
      <c r="C85" s="3" t="s">
        <v>70</v>
      </c>
      <c r="D85" s="3" t="s">
        <v>164</v>
      </c>
      <c r="E85" s="3">
        <v>4.5</v>
      </c>
    </row>
    <row r="86" spans="1:5" x14ac:dyDescent="0.2">
      <c r="A86" s="2" t="s">
        <v>3</v>
      </c>
      <c r="B86" s="2" t="s">
        <v>15</v>
      </c>
      <c r="C86" s="2" t="s">
        <v>64</v>
      </c>
      <c r="D86" s="2" t="s">
        <v>158</v>
      </c>
      <c r="E86" s="2">
        <v>7.8</v>
      </c>
    </row>
    <row r="87" spans="1:5" x14ac:dyDescent="0.2">
      <c r="A87" s="3" t="s">
        <v>3</v>
      </c>
      <c r="B87" s="3" t="s">
        <v>15</v>
      </c>
      <c r="C87" s="3" t="s">
        <v>64</v>
      </c>
      <c r="D87" s="3" t="s">
        <v>159</v>
      </c>
      <c r="E87" s="3">
        <v>17.7</v>
      </c>
    </row>
    <row r="88" spans="1:5" x14ac:dyDescent="0.2">
      <c r="A88" s="2" t="s">
        <v>3</v>
      </c>
      <c r="B88" s="2" t="s">
        <v>15</v>
      </c>
      <c r="C88" s="2" t="s">
        <v>64</v>
      </c>
      <c r="D88" s="2" t="s">
        <v>165</v>
      </c>
      <c r="E88" s="2">
        <v>50.6</v>
      </c>
    </row>
    <row r="89" spans="1:5" x14ac:dyDescent="0.2">
      <c r="A89" s="3" t="s">
        <v>3</v>
      </c>
      <c r="B89" s="3" t="s">
        <v>15</v>
      </c>
      <c r="C89" s="3" t="s">
        <v>64</v>
      </c>
      <c r="D89" s="3" t="s">
        <v>166</v>
      </c>
      <c r="E89" s="3">
        <v>22.8</v>
      </c>
    </row>
    <row r="90" spans="1:5" x14ac:dyDescent="0.2">
      <c r="A90" s="2" t="s">
        <v>3</v>
      </c>
      <c r="B90" s="2" t="s">
        <v>15</v>
      </c>
      <c r="C90" s="2" t="s">
        <v>65</v>
      </c>
      <c r="D90" s="2" t="s">
        <v>158</v>
      </c>
      <c r="E90" s="2">
        <v>7.8</v>
      </c>
    </row>
    <row r="91" spans="1:5" x14ac:dyDescent="0.2">
      <c r="A91" s="3" t="s">
        <v>3</v>
      </c>
      <c r="B91" s="3" t="s">
        <v>15</v>
      </c>
      <c r="C91" s="3" t="s">
        <v>65</v>
      </c>
      <c r="D91" s="3" t="s">
        <v>159</v>
      </c>
      <c r="E91" s="3">
        <v>17.5</v>
      </c>
    </row>
    <row r="92" spans="1:5" x14ac:dyDescent="0.2">
      <c r="A92" s="2" t="s">
        <v>3</v>
      </c>
      <c r="B92" s="2" t="s">
        <v>15</v>
      </c>
      <c r="C92" s="2" t="s">
        <v>65</v>
      </c>
      <c r="D92" s="2" t="s">
        <v>165</v>
      </c>
      <c r="E92" s="2">
        <v>51.2</v>
      </c>
    </row>
    <row r="93" spans="1:5" x14ac:dyDescent="0.2">
      <c r="A93" s="3" t="s">
        <v>3</v>
      </c>
      <c r="B93" s="3" t="s">
        <v>15</v>
      </c>
      <c r="C93" s="3" t="s">
        <v>65</v>
      </c>
      <c r="D93" s="3" t="s">
        <v>166</v>
      </c>
      <c r="E93" s="3">
        <v>22.7</v>
      </c>
    </row>
    <row r="94" spans="1:5" x14ac:dyDescent="0.2">
      <c r="A94" s="2" t="s">
        <v>3</v>
      </c>
      <c r="B94" s="2" t="s">
        <v>15</v>
      </c>
      <c r="C94" s="2" t="s">
        <v>66</v>
      </c>
      <c r="D94" s="2" t="s">
        <v>158</v>
      </c>
      <c r="E94" s="2">
        <v>7.9</v>
      </c>
    </row>
    <row r="95" spans="1:5" x14ac:dyDescent="0.2">
      <c r="A95" s="3" t="s">
        <v>3</v>
      </c>
      <c r="B95" s="3" t="s">
        <v>15</v>
      </c>
      <c r="C95" s="3" t="s">
        <v>66</v>
      </c>
      <c r="D95" s="3" t="s">
        <v>159</v>
      </c>
      <c r="E95" s="3">
        <v>18.2</v>
      </c>
    </row>
    <row r="96" spans="1:5" x14ac:dyDescent="0.2">
      <c r="A96" s="2" t="s">
        <v>3</v>
      </c>
      <c r="B96" s="2" t="s">
        <v>15</v>
      </c>
      <c r="C96" s="2" t="s">
        <v>66</v>
      </c>
      <c r="D96" s="2" t="s">
        <v>165</v>
      </c>
      <c r="E96" s="2">
        <v>51</v>
      </c>
    </row>
    <row r="97" spans="1:5" x14ac:dyDescent="0.2">
      <c r="A97" s="3" t="s">
        <v>3</v>
      </c>
      <c r="B97" s="3" t="s">
        <v>15</v>
      </c>
      <c r="C97" s="3" t="s">
        <v>66</v>
      </c>
      <c r="D97" s="3" t="s">
        <v>166</v>
      </c>
      <c r="E97" s="3">
        <v>23.3</v>
      </c>
    </row>
    <row r="98" spans="1:5" x14ac:dyDescent="0.2">
      <c r="A98" s="2" t="s">
        <v>3</v>
      </c>
      <c r="B98" s="2" t="s">
        <v>15</v>
      </c>
      <c r="C98" s="2" t="s">
        <v>67</v>
      </c>
      <c r="D98" s="2" t="s">
        <v>158</v>
      </c>
      <c r="E98" s="2">
        <v>8.3000000000000007</v>
      </c>
    </row>
    <row r="99" spans="1:5" x14ac:dyDescent="0.2">
      <c r="A99" s="3" t="s">
        <v>3</v>
      </c>
      <c r="B99" s="3" t="s">
        <v>15</v>
      </c>
      <c r="C99" s="3" t="s">
        <v>67</v>
      </c>
      <c r="D99" s="3" t="s">
        <v>159</v>
      </c>
      <c r="E99" s="3">
        <v>17.600000000000001</v>
      </c>
    </row>
    <row r="100" spans="1:5" x14ac:dyDescent="0.2">
      <c r="A100" s="2" t="s">
        <v>3</v>
      </c>
      <c r="B100" s="2" t="s">
        <v>15</v>
      </c>
      <c r="C100" s="2" t="s">
        <v>67</v>
      </c>
      <c r="D100" s="2" t="s">
        <v>165</v>
      </c>
      <c r="E100" s="2">
        <v>51.4</v>
      </c>
    </row>
    <row r="101" spans="1:5" x14ac:dyDescent="0.2">
      <c r="A101" s="3" t="s">
        <v>3</v>
      </c>
      <c r="B101" s="3" t="s">
        <v>15</v>
      </c>
      <c r="C101" s="3" t="s">
        <v>67</v>
      </c>
      <c r="D101" s="3" t="s">
        <v>166</v>
      </c>
      <c r="E101" s="3">
        <v>22.5</v>
      </c>
    </row>
    <row r="102" spans="1:5" x14ac:dyDescent="0.2">
      <c r="A102" s="2" t="s">
        <v>3</v>
      </c>
      <c r="B102" s="2" t="s">
        <v>15</v>
      </c>
      <c r="C102" s="2" t="s">
        <v>68</v>
      </c>
      <c r="D102" s="2" t="s">
        <v>158</v>
      </c>
      <c r="E102" s="2">
        <v>7.5</v>
      </c>
    </row>
    <row r="103" spans="1:5" x14ac:dyDescent="0.2">
      <c r="A103" s="3" t="s">
        <v>3</v>
      </c>
      <c r="B103" s="3" t="s">
        <v>15</v>
      </c>
      <c r="C103" s="3" t="s">
        <v>68</v>
      </c>
      <c r="D103" s="3" t="s">
        <v>159</v>
      </c>
      <c r="E103" s="3">
        <v>18.399999999999999</v>
      </c>
    </row>
    <row r="104" spans="1:5" x14ac:dyDescent="0.2">
      <c r="A104" s="2" t="s">
        <v>3</v>
      </c>
      <c r="B104" s="2" t="s">
        <v>15</v>
      </c>
      <c r="C104" s="2" t="s">
        <v>68</v>
      </c>
      <c r="D104" s="2" t="s">
        <v>165</v>
      </c>
      <c r="E104" s="2">
        <v>51.4</v>
      </c>
    </row>
    <row r="105" spans="1:5" x14ac:dyDescent="0.2">
      <c r="A105" s="3" t="s">
        <v>3</v>
      </c>
      <c r="B105" s="3" t="s">
        <v>15</v>
      </c>
      <c r="C105" s="3" t="s">
        <v>68</v>
      </c>
      <c r="D105" s="3" t="s">
        <v>166</v>
      </c>
      <c r="E105" s="3">
        <v>23.1</v>
      </c>
    </row>
    <row r="106" spans="1:5" x14ac:dyDescent="0.2">
      <c r="A106" s="2" t="s">
        <v>3</v>
      </c>
      <c r="B106" s="2" t="s">
        <v>15</v>
      </c>
      <c r="C106" s="2" t="s">
        <v>69</v>
      </c>
      <c r="D106" s="2" t="s">
        <v>158</v>
      </c>
      <c r="E106" s="2">
        <v>8.1</v>
      </c>
    </row>
    <row r="107" spans="1:5" x14ac:dyDescent="0.2">
      <c r="A107" s="3" t="s">
        <v>3</v>
      </c>
      <c r="B107" s="3" t="s">
        <v>15</v>
      </c>
      <c r="C107" s="3" t="s">
        <v>69</v>
      </c>
      <c r="D107" s="3" t="s">
        <v>159</v>
      </c>
      <c r="E107" s="3">
        <v>18.2</v>
      </c>
    </row>
    <row r="108" spans="1:5" x14ac:dyDescent="0.2">
      <c r="A108" s="2" t="s">
        <v>3</v>
      </c>
      <c r="B108" s="2" t="s">
        <v>15</v>
      </c>
      <c r="C108" s="2" t="s">
        <v>69</v>
      </c>
      <c r="D108" s="2" t="s">
        <v>165</v>
      </c>
      <c r="E108" s="2">
        <v>50.9</v>
      </c>
    </row>
    <row r="109" spans="1:5" x14ac:dyDescent="0.2">
      <c r="A109" s="3" t="s">
        <v>3</v>
      </c>
      <c r="B109" s="3" t="s">
        <v>15</v>
      </c>
      <c r="C109" s="3" t="s">
        <v>69</v>
      </c>
      <c r="D109" s="3" t="s">
        <v>166</v>
      </c>
      <c r="E109" s="3">
        <v>22.6</v>
      </c>
    </row>
    <row r="110" spans="1:5" x14ac:dyDescent="0.2">
      <c r="A110" s="2" t="s">
        <v>3</v>
      </c>
      <c r="B110" s="2" t="s">
        <v>15</v>
      </c>
      <c r="C110" s="2" t="s">
        <v>70</v>
      </c>
      <c r="D110" s="2" t="s">
        <v>158</v>
      </c>
      <c r="E110" s="2">
        <v>7.5</v>
      </c>
    </row>
    <row r="111" spans="1:5" x14ac:dyDescent="0.2">
      <c r="A111" s="3" t="s">
        <v>3</v>
      </c>
      <c r="B111" s="3" t="s">
        <v>15</v>
      </c>
      <c r="C111" s="3" t="s">
        <v>70</v>
      </c>
      <c r="D111" s="3" t="s">
        <v>159</v>
      </c>
      <c r="E111" s="3">
        <v>17.8</v>
      </c>
    </row>
    <row r="112" spans="1:5" x14ac:dyDescent="0.2">
      <c r="A112" s="2" t="s">
        <v>3</v>
      </c>
      <c r="B112" s="2" t="s">
        <v>15</v>
      </c>
      <c r="C112" s="2" t="s">
        <v>70</v>
      </c>
      <c r="D112" s="2" t="s">
        <v>165</v>
      </c>
      <c r="E112" s="2">
        <v>51.3</v>
      </c>
    </row>
    <row r="113" spans="1:5" x14ac:dyDescent="0.2">
      <c r="A113" s="3" t="s">
        <v>3</v>
      </c>
      <c r="B113" s="3" t="s">
        <v>15</v>
      </c>
      <c r="C113" s="3" t="s">
        <v>70</v>
      </c>
      <c r="D113" s="3" t="s">
        <v>166</v>
      </c>
      <c r="E113" s="3">
        <v>23.1</v>
      </c>
    </row>
    <row r="114" spans="1:5" x14ac:dyDescent="0.2">
      <c r="A114" s="2" t="s">
        <v>4</v>
      </c>
      <c r="B114" s="2" t="s">
        <v>15</v>
      </c>
      <c r="C114" s="2" t="s">
        <v>64</v>
      </c>
      <c r="D114" s="2" t="s">
        <v>158</v>
      </c>
      <c r="E114" s="2">
        <v>32.299999999999997</v>
      </c>
    </row>
    <row r="115" spans="1:5" x14ac:dyDescent="0.2">
      <c r="A115" s="3" t="s">
        <v>4</v>
      </c>
      <c r="B115" s="3" t="s">
        <v>15</v>
      </c>
      <c r="C115" s="3" t="s">
        <v>64</v>
      </c>
      <c r="D115" s="3" t="s">
        <v>159</v>
      </c>
      <c r="E115" s="3">
        <v>40.4</v>
      </c>
    </row>
    <row r="116" spans="1:5" x14ac:dyDescent="0.2">
      <c r="A116" s="2" t="s">
        <v>4</v>
      </c>
      <c r="B116" s="2" t="s">
        <v>15</v>
      </c>
      <c r="C116" s="2" t="s">
        <v>64</v>
      </c>
      <c r="D116" s="2" t="s">
        <v>160</v>
      </c>
      <c r="E116" s="2">
        <v>17.600000000000001</v>
      </c>
    </row>
    <row r="117" spans="1:5" x14ac:dyDescent="0.2">
      <c r="A117" s="3" t="s">
        <v>4</v>
      </c>
      <c r="B117" s="3" t="s">
        <v>15</v>
      </c>
      <c r="C117" s="3" t="s">
        <v>64</v>
      </c>
      <c r="D117" s="3" t="s">
        <v>161</v>
      </c>
      <c r="E117" s="3">
        <v>10.3</v>
      </c>
    </row>
    <row r="118" spans="1:5" x14ac:dyDescent="0.2">
      <c r="A118" s="2" t="s">
        <v>4</v>
      </c>
      <c r="B118" s="2" t="s">
        <v>15</v>
      </c>
      <c r="C118" s="2" t="s">
        <v>65</v>
      </c>
      <c r="D118" s="2" t="s">
        <v>158</v>
      </c>
      <c r="E118" s="2">
        <v>31.7</v>
      </c>
    </row>
    <row r="119" spans="1:5" x14ac:dyDescent="0.2">
      <c r="A119" s="3" t="s">
        <v>4</v>
      </c>
      <c r="B119" s="3" t="s">
        <v>15</v>
      </c>
      <c r="C119" s="3" t="s">
        <v>65</v>
      </c>
      <c r="D119" s="3" t="s">
        <v>159</v>
      </c>
      <c r="E119" s="3">
        <v>40.1</v>
      </c>
    </row>
    <row r="120" spans="1:5" x14ac:dyDescent="0.2">
      <c r="A120" s="2" t="s">
        <v>4</v>
      </c>
      <c r="B120" s="2" t="s">
        <v>15</v>
      </c>
      <c r="C120" s="2" t="s">
        <v>65</v>
      </c>
      <c r="D120" s="2" t="s">
        <v>160</v>
      </c>
      <c r="E120" s="2">
        <v>18</v>
      </c>
    </row>
    <row r="121" spans="1:5" x14ac:dyDescent="0.2">
      <c r="A121" s="3" t="s">
        <v>4</v>
      </c>
      <c r="B121" s="3" t="s">
        <v>15</v>
      </c>
      <c r="C121" s="3" t="s">
        <v>65</v>
      </c>
      <c r="D121" s="3" t="s">
        <v>161</v>
      </c>
      <c r="E121" s="3">
        <v>9.9</v>
      </c>
    </row>
    <row r="122" spans="1:5" x14ac:dyDescent="0.2">
      <c r="A122" s="2" t="s">
        <v>4</v>
      </c>
      <c r="B122" s="2" t="s">
        <v>15</v>
      </c>
      <c r="C122" s="2" t="s">
        <v>66</v>
      </c>
      <c r="D122" s="2" t="s">
        <v>158</v>
      </c>
      <c r="E122" s="2">
        <v>31.8</v>
      </c>
    </row>
    <row r="123" spans="1:5" x14ac:dyDescent="0.2">
      <c r="A123" s="3" t="s">
        <v>4</v>
      </c>
      <c r="B123" s="3" t="s">
        <v>15</v>
      </c>
      <c r="C123" s="3" t="s">
        <v>66</v>
      </c>
      <c r="D123" s="3" t="s">
        <v>159</v>
      </c>
      <c r="E123" s="3">
        <v>39.799999999999997</v>
      </c>
    </row>
    <row r="124" spans="1:5" x14ac:dyDescent="0.2">
      <c r="A124" s="2" t="s">
        <v>4</v>
      </c>
      <c r="B124" s="2" t="s">
        <v>15</v>
      </c>
      <c r="C124" s="2" t="s">
        <v>66</v>
      </c>
      <c r="D124" s="2" t="s">
        <v>160</v>
      </c>
      <c r="E124" s="2">
        <v>17.8</v>
      </c>
    </row>
    <row r="125" spans="1:5" x14ac:dyDescent="0.2">
      <c r="A125" s="3" t="s">
        <v>4</v>
      </c>
      <c r="B125" s="3" t="s">
        <v>15</v>
      </c>
      <c r="C125" s="3" t="s">
        <v>66</v>
      </c>
      <c r="D125" s="3" t="s">
        <v>161</v>
      </c>
      <c r="E125" s="3">
        <v>9.6999999999999993</v>
      </c>
    </row>
    <row r="126" spans="1:5" x14ac:dyDescent="0.2">
      <c r="A126" s="2" t="s">
        <v>4</v>
      </c>
      <c r="B126" s="2" t="s">
        <v>15</v>
      </c>
      <c r="C126" s="2" t="s">
        <v>67</v>
      </c>
      <c r="D126" s="2" t="s">
        <v>158</v>
      </c>
      <c r="E126" s="2">
        <v>32</v>
      </c>
    </row>
    <row r="127" spans="1:5" x14ac:dyDescent="0.2">
      <c r="A127" s="3" t="s">
        <v>4</v>
      </c>
      <c r="B127" s="3" t="s">
        <v>15</v>
      </c>
      <c r="C127" s="3" t="s">
        <v>67</v>
      </c>
      <c r="D127" s="3" t="s">
        <v>159</v>
      </c>
      <c r="E127" s="3">
        <v>39.6</v>
      </c>
    </row>
    <row r="128" spans="1:5" x14ac:dyDescent="0.2">
      <c r="A128" s="2" t="s">
        <v>4</v>
      </c>
      <c r="B128" s="2" t="s">
        <v>15</v>
      </c>
      <c r="C128" s="2" t="s">
        <v>67</v>
      </c>
      <c r="D128" s="2" t="s">
        <v>160</v>
      </c>
      <c r="E128" s="2">
        <v>18</v>
      </c>
    </row>
    <row r="129" spans="1:5" x14ac:dyDescent="0.2">
      <c r="A129" s="3" t="s">
        <v>4</v>
      </c>
      <c r="B129" s="3" t="s">
        <v>15</v>
      </c>
      <c r="C129" s="3" t="s">
        <v>67</v>
      </c>
      <c r="D129" s="3" t="s">
        <v>161</v>
      </c>
      <c r="E129" s="3">
        <v>10.4</v>
      </c>
    </row>
    <row r="130" spans="1:5" x14ac:dyDescent="0.2">
      <c r="A130" s="2" t="s">
        <v>4</v>
      </c>
      <c r="B130" s="2" t="s">
        <v>15</v>
      </c>
      <c r="C130" s="2" t="s">
        <v>68</v>
      </c>
      <c r="D130" s="2" t="s">
        <v>158</v>
      </c>
      <c r="E130" s="2">
        <v>31.8</v>
      </c>
    </row>
    <row r="131" spans="1:5" x14ac:dyDescent="0.2">
      <c r="A131" s="3" t="s">
        <v>4</v>
      </c>
      <c r="B131" s="3" t="s">
        <v>15</v>
      </c>
      <c r="C131" s="3" t="s">
        <v>68</v>
      </c>
      <c r="D131" s="3" t="s">
        <v>159</v>
      </c>
      <c r="E131" s="3">
        <v>40.200000000000003</v>
      </c>
    </row>
    <row r="132" spans="1:5" x14ac:dyDescent="0.2">
      <c r="A132" s="2" t="s">
        <v>4</v>
      </c>
      <c r="B132" s="2" t="s">
        <v>15</v>
      </c>
      <c r="C132" s="2" t="s">
        <v>68</v>
      </c>
      <c r="D132" s="2" t="s">
        <v>160</v>
      </c>
      <c r="E132" s="2">
        <v>18.3</v>
      </c>
    </row>
    <row r="133" spans="1:5" x14ac:dyDescent="0.2">
      <c r="A133" s="3" t="s">
        <v>4</v>
      </c>
      <c r="B133" s="3" t="s">
        <v>15</v>
      </c>
      <c r="C133" s="3" t="s">
        <v>68</v>
      </c>
      <c r="D133" s="3" t="s">
        <v>161</v>
      </c>
      <c r="E133" s="3">
        <v>10.3</v>
      </c>
    </row>
    <row r="134" spans="1:5" x14ac:dyDescent="0.2">
      <c r="A134" s="2" t="s">
        <v>4</v>
      </c>
      <c r="B134" s="2" t="s">
        <v>15</v>
      </c>
      <c r="C134" s="2" t="s">
        <v>69</v>
      </c>
      <c r="D134" s="2" t="s">
        <v>158</v>
      </c>
      <c r="E134" s="2">
        <v>31.7</v>
      </c>
    </row>
    <row r="135" spans="1:5" x14ac:dyDescent="0.2">
      <c r="A135" s="3" t="s">
        <v>4</v>
      </c>
      <c r="B135" s="3" t="s">
        <v>15</v>
      </c>
      <c r="C135" s="3" t="s">
        <v>69</v>
      </c>
      <c r="D135" s="3" t="s">
        <v>159</v>
      </c>
      <c r="E135" s="3">
        <v>39.6</v>
      </c>
    </row>
    <row r="136" spans="1:5" x14ac:dyDescent="0.2">
      <c r="A136" s="2" t="s">
        <v>4</v>
      </c>
      <c r="B136" s="2" t="s">
        <v>15</v>
      </c>
      <c r="C136" s="2" t="s">
        <v>69</v>
      </c>
      <c r="D136" s="2" t="s">
        <v>160</v>
      </c>
      <c r="E136" s="2">
        <v>17.7</v>
      </c>
    </row>
    <row r="137" spans="1:5" x14ac:dyDescent="0.2">
      <c r="A137" s="3" t="s">
        <v>4</v>
      </c>
      <c r="B137" s="3" t="s">
        <v>15</v>
      </c>
      <c r="C137" s="3" t="s">
        <v>69</v>
      </c>
      <c r="D137" s="3" t="s">
        <v>161</v>
      </c>
      <c r="E137" s="3">
        <v>10.1</v>
      </c>
    </row>
    <row r="138" spans="1:5" x14ac:dyDescent="0.2">
      <c r="A138" s="2" t="s">
        <v>4</v>
      </c>
      <c r="B138" s="2" t="s">
        <v>15</v>
      </c>
      <c r="C138" s="2" t="s">
        <v>70</v>
      </c>
      <c r="D138" s="2" t="s">
        <v>158</v>
      </c>
      <c r="E138" s="2">
        <v>32.299999999999997</v>
      </c>
    </row>
    <row r="139" spans="1:5" x14ac:dyDescent="0.2">
      <c r="A139" s="3" t="s">
        <v>4</v>
      </c>
      <c r="B139" s="3" t="s">
        <v>15</v>
      </c>
      <c r="C139" s="3" t="s">
        <v>70</v>
      </c>
      <c r="D139" s="3" t="s">
        <v>159</v>
      </c>
      <c r="E139" s="3">
        <v>40.200000000000003</v>
      </c>
    </row>
    <row r="140" spans="1:5" x14ac:dyDescent="0.2">
      <c r="A140" s="2" t="s">
        <v>4</v>
      </c>
      <c r="B140" s="2" t="s">
        <v>15</v>
      </c>
      <c r="C140" s="2" t="s">
        <v>70</v>
      </c>
      <c r="D140" s="2" t="s">
        <v>160</v>
      </c>
      <c r="E140" s="2">
        <v>17.7</v>
      </c>
    </row>
    <row r="141" spans="1:5" x14ac:dyDescent="0.2">
      <c r="A141" s="3" t="s">
        <v>4</v>
      </c>
      <c r="B141" s="3" t="s">
        <v>15</v>
      </c>
      <c r="C141" s="3" t="s">
        <v>70</v>
      </c>
      <c r="D141" s="3" t="s">
        <v>161</v>
      </c>
      <c r="E141" s="3">
        <v>10.3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AC58C"/>
  </sheetPr>
  <dimension ref="A1:N36"/>
  <sheetViews>
    <sheetView workbookViewId="0">
      <pane ySplit="1" topLeftCell="A19" activePane="bottomLeft" state="frozen"/>
      <selection pane="bottomLeft" activeCell="I48" sqref="I48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22" customWidth="1"/>
    <col min="5" max="5" width="18" customWidth="1"/>
    <col min="6" max="6" width="15" customWidth="1"/>
    <col min="7" max="7" width="11" customWidth="1"/>
    <col min="8" max="9" width="22" style="13" customWidth="1"/>
    <col min="10" max="11" width="12.1640625" style="13" customWidth="1"/>
    <col min="12" max="12" width="16" style="13" customWidth="1"/>
    <col min="13" max="13" width="14" style="13" customWidth="1"/>
    <col min="14" max="14" width="8.83203125" style="13"/>
  </cols>
  <sheetData>
    <row r="1" spans="1:14" ht="42" x14ac:dyDescent="0.2">
      <c r="A1" s="7" t="s">
        <v>237</v>
      </c>
      <c r="B1" s="7" t="s">
        <v>238</v>
      </c>
      <c r="C1" s="7" t="s">
        <v>63</v>
      </c>
      <c r="D1" s="7" t="s">
        <v>275</v>
      </c>
      <c r="E1" s="7" t="s">
        <v>276</v>
      </c>
      <c r="F1" s="7" t="s">
        <v>277</v>
      </c>
      <c r="G1" s="7" t="s">
        <v>278</v>
      </c>
      <c r="H1" s="11" t="s">
        <v>279</v>
      </c>
      <c r="I1" s="11" t="s">
        <v>280</v>
      </c>
      <c r="J1" s="11" t="s">
        <v>281</v>
      </c>
      <c r="K1" s="11" t="s">
        <v>282</v>
      </c>
      <c r="L1" s="11" t="s">
        <v>283</v>
      </c>
      <c r="M1" s="11" t="s">
        <v>284</v>
      </c>
      <c r="N1" s="14"/>
    </row>
    <row r="2" spans="1:14" x14ac:dyDescent="0.2">
      <c r="A2" s="5" t="s">
        <v>0</v>
      </c>
      <c r="B2" s="2" t="s">
        <v>15</v>
      </c>
      <c r="C2" s="2" t="s">
        <v>64</v>
      </c>
      <c r="D2" s="2">
        <v>18.100000000000001</v>
      </c>
      <c r="E2" s="2">
        <v>2395782</v>
      </c>
      <c r="F2" s="2">
        <v>840953</v>
      </c>
      <c r="G2" s="2">
        <v>2</v>
      </c>
      <c r="H2" s="12">
        <v>11.9</v>
      </c>
      <c r="I2" s="12">
        <v>8.4</v>
      </c>
      <c r="J2" s="12">
        <v>0</v>
      </c>
      <c r="K2" s="16">
        <v>0</v>
      </c>
      <c r="L2" s="12">
        <v>78.400000000000006</v>
      </c>
      <c r="M2" s="12">
        <v>87.1</v>
      </c>
    </row>
    <row r="3" spans="1:14" x14ac:dyDescent="0.2">
      <c r="A3" s="6" t="s">
        <v>0</v>
      </c>
      <c r="B3" s="3" t="s">
        <v>15</v>
      </c>
      <c r="C3" s="3" t="s">
        <v>65</v>
      </c>
      <c r="D3" s="3">
        <v>18.100000000000001</v>
      </c>
      <c r="E3" s="3">
        <v>2415443</v>
      </c>
      <c r="F3" s="3">
        <v>851710</v>
      </c>
      <c r="G3" s="3">
        <v>2</v>
      </c>
      <c r="H3" s="12">
        <v>12</v>
      </c>
      <c r="I3" s="12">
        <v>8.3000000000000007</v>
      </c>
      <c r="J3" s="15">
        <f>(F3-F2)/F2</f>
        <v>1.2791440187501561E-2</v>
      </c>
      <c r="K3" s="17">
        <f>G3-G2</f>
        <v>0</v>
      </c>
      <c r="L3" s="12">
        <v>78</v>
      </c>
      <c r="M3" s="12">
        <v>87.2</v>
      </c>
    </row>
    <row r="4" spans="1:14" x14ac:dyDescent="0.2">
      <c r="A4" s="5" t="s">
        <v>0</v>
      </c>
      <c r="B4" s="2" t="s">
        <v>15</v>
      </c>
      <c r="C4" s="2" t="s">
        <v>66</v>
      </c>
      <c r="D4" s="2">
        <v>18.600000000000001</v>
      </c>
      <c r="E4" s="2">
        <v>2420402</v>
      </c>
      <c r="F4" s="2">
        <v>859288</v>
      </c>
      <c r="G4" s="2">
        <v>2</v>
      </c>
      <c r="H4" s="12">
        <v>12.8</v>
      </c>
      <c r="I4" s="12">
        <v>8.3000000000000007</v>
      </c>
      <c r="J4" s="15">
        <f t="shared" ref="J4:J36" si="0">(F4-F3)/F3</f>
        <v>8.8973946531096266E-3</v>
      </c>
      <c r="K4" s="17">
        <f t="shared" ref="K4:K36" si="1">G4-G3</f>
        <v>0</v>
      </c>
      <c r="L4" s="12">
        <v>79.099999999999994</v>
      </c>
      <c r="M4" s="12">
        <v>87.6</v>
      </c>
    </row>
    <row r="5" spans="1:14" x14ac:dyDescent="0.2">
      <c r="A5" s="6" t="s">
        <v>0</v>
      </c>
      <c r="B5" s="3" t="s">
        <v>15</v>
      </c>
      <c r="C5" s="3" t="s">
        <v>67</v>
      </c>
      <c r="D5" s="3">
        <v>18.600000000000001</v>
      </c>
      <c r="E5" s="3">
        <v>2438702</v>
      </c>
      <c r="F5" s="3">
        <v>863356</v>
      </c>
      <c r="G5" s="3">
        <v>2</v>
      </c>
      <c r="H5" s="12">
        <v>12.7</v>
      </c>
      <c r="I5" s="12">
        <v>8.8000000000000007</v>
      </c>
      <c r="J5" s="15">
        <f t="shared" si="0"/>
        <v>4.7341519956056646E-3</v>
      </c>
      <c r="K5" s="17">
        <f t="shared" si="1"/>
        <v>0</v>
      </c>
      <c r="L5" s="12">
        <v>79.2</v>
      </c>
      <c r="M5" s="12">
        <v>87.6</v>
      </c>
    </row>
    <row r="6" spans="1:14" x14ac:dyDescent="0.2">
      <c r="A6" s="5" t="s">
        <v>0</v>
      </c>
      <c r="B6" s="2" t="s">
        <v>15</v>
      </c>
      <c r="C6" s="2" t="s">
        <v>68</v>
      </c>
      <c r="D6" s="2">
        <v>18.899999999999999</v>
      </c>
      <c r="E6" s="2">
        <v>2444698</v>
      </c>
      <c r="F6" s="2">
        <v>875766</v>
      </c>
      <c r="G6" s="2">
        <v>2</v>
      </c>
      <c r="H6" s="12">
        <v>13</v>
      </c>
      <c r="I6" s="12">
        <v>8.6</v>
      </c>
      <c r="J6" s="15">
        <f t="shared" si="0"/>
        <v>1.4374139983969534E-2</v>
      </c>
      <c r="K6" s="17">
        <f t="shared" si="1"/>
        <v>0</v>
      </c>
      <c r="L6" s="12">
        <v>79.5</v>
      </c>
      <c r="M6" s="12">
        <v>87.7</v>
      </c>
    </row>
    <row r="7" spans="1:14" x14ac:dyDescent="0.2">
      <c r="A7" s="6" t="s">
        <v>0</v>
      </c>
      <c r="B7" s="3" t="s">
        <v>15</v>
      </c>
      <c r="C7" s="3" t="s">
        <v>69</v>
      </c>
      <c r="D7" s="3">
        <v>19.100000000000001</v>
      </c>
      <c r="E7" s="3">
        <v>2462612</v>
      </c>
      <c r="F7" s="3">
        <v>884696</v>
      </c>
      <c r="G7" s="3">
        <v>2</v>
      </c>
      <c r="H7" s="12">
        <v>13</v>
      </c>
      <c r="I7" s="12">
        <v>8.6999999999999993</v>
      </c>
      <c r="J7" s="15">
        <f t="shared" si="0"/>
        <v>1.0196787726401802E-2</v>
      </c>
      <c r="K7" s="17">
        <f t="shared" si="1"/>
        <v>0</v>
      </c>
      <c r="L7" s="12">
        <v>79.900000000000006</v>
      </c>
      <c r="M7" s="12">
        <v>87.8</v>
      </c>
    </row>
    <row r="8" spans="1:14" x14ac:dyDescent="0.2">
      <c r="A8" s="5" t="s">
        <v>0</v>
      </c>
      <c r="B8" s="2" t="s">
        <v>15</v>
      </c>
      <c r="C8" s="2" t="s">
        <v>70</v>
      </c>
      <c r="D8" s="2">
        <v>18.899999999999999</v>
      </c>
      <c r="E8" s="2">
        <v>2470268</v>
      </c>
      <c r="F8" s="2">
        <v>887343</v>
      </c>
      <c r="G8" s="2">
        <v>2</v>
      </c>
      <c r="H8" s="12">
        <v>13.1</v>
      </c>
      <c r="I8" s="12">
        <v>8.8000000000000007</v>
      </c>
      <c r="J8" s="15">
        <f t="shared" si="0"/>
        <v>2.9919882083789232E-3</v>
      </c>
      <c r="K8" s="17">
        <f t="shared" si="1"/>
        <v>0</v>
      </c>
      <c r="L8" s="12">
        <v>79.8</v>
      </c>
      <c r="M8" s="12">
        <v>88</v>
      </c>
    </row>
    <row r="9" spans="1:14" x14ac:dyDescent="0.2">
      <c r="A9" s="3" t="s">
        <v>1</v>
      </c>
      <c r="B9" s="3" t="s">
        <v>15</v>
      </c>
      <c r="C9" s="3" t="s">
        <v>64</v>
      </c>
      <c r="D9" s="3">
        <v>12.5</v>
      </c>
      <c r="E9" s="3">
        <v>1799687</v>
      </c>
      <c r="F9" s="3">
        <v>609924</v>
      </c>
      <c r="G9" s="3">
        <v>5</v>
      </c>
      <c r="H9" s="12">
        <v>16.100000000000001</v>
      </c>
      <c r="I9" s="12">
        <v>6.5</v>
      </c>
      <c r="J9" s="15">
        <f t="shared" si="0"/>
        <v>-0.3126400952055744</v>
      </c>
      <c r="K9" s="17">
        <f t="shared" si="1"/>
        <v>3</v>
      </c>
      <c r="L9" s="12">
        <v>35.299999999999997</v>
      </c>
      <c r="M9" s="12">
        <v>74.900000000000006</v>
      </c>
    </row>
    <row r="10" spans="1:14" x14ac:dyDescent="0.2">
      <c r="A10" s="2" t="s">
        <v>1</v>
      </c>
      <c r="B10" s="2" t="s">
        <v>15</v>
      </c>
      <c r="C10" s="2" t="s">
        <v>65</v>
      </c>
      <c r="D10" s="2">
        <v>12.5</v>
      </c>
      <c r="E10" s="2">
        <v>1814204</v>
      </c>
      <c r="F10" s="2">
        <v>618167</v>
      </c>
      <c r="G10" s="2">
        <v>5</v>
      </c>
      <c r="H10" s="12">
        <v>15.9</v>
      </c>
      <c r="I10" s="12">
        <v>6.7</v>
      </c>
      <c r="J10" s="15">
        <f t="shared" si="0"/>
        <v>1.3514798565067123E-2</v>
      </c>
      <c r="K10" s="17">
        <f t="shared" si="1"/>
        <v>0</v>
      </c>
      <c r="L10" s="12">
        <v>35.6</v>
      </c>
      <c r="M10" s="12">
        <v>75</v>
      </c>
    </row>
    <row r="11" spans="1:14" x14ac:dyDescent="0.2">
      <c r="A11" s="3" t="s">
        <v>1</v>
      </c>
      <c r="B11" s="3" t="s">
        <v>15</v>
      </c>
      <c r="C11" s="3" t="s">
        <v>66</v>
      </c>
      <c r="D11" s="3">
        <v>12.4</v>
      </c>
      <c r="E11" s="3">
        <v>1825955</v>
      </c>
      <c r="F11" s="3">
        <v>623646</v>
      </c>
      <c r="G11" s="3">
        <v>5</v>
      </c>
      <c r="H11" s="12">
        <v>16.100000000000001</v>
      </c>
      <c r="I11" s="12">
        <v>7.1</v>
      </c>
      <c r="J11" s="15">
        <f t="shared" si="0"/>
        <v>8.8633006938254547E-3</v>
      </c>
      <c r="K11" s="17">
        <f t="shared" si="1"/>
        <v>0</v>
      </c>
      <c r="L11" s="12">
        <v>35.200000000000003</v>
      </c>
      <c r="M11" s="12">
        <v>75.3</v>
      </c>
    </row>
    <row r="12" spans="1:14" x14ac:dyDescent="0.2">
      <c r="A12" s="2" t="s">
        <v>1</v>
      </c>
      <c r="B12" s="2" t="s">
        <v>15</v>
      </c>
      <c r="C12" s="2" t="s">
        <v>67</v>
      </c>
      <c r="D12" s="2">
        <v>12.7</v>
      </c>
      <c r="E12" s="2">
        <v>1838305</v>
      </c>
      <c r="F12" s="2">
        <v>635936</v>
      </c>
      <c r="G12" s="2">
        <v>5</v>
      </c>
      <c r="H12" s="12">
        <v>16.600000000000001</v>
      </c>
      <c r="I12" s="12">
        <v>6.9</v>
      </c>
      <c r="J12" s="15">
        <f t="shared" si="0"/>
        <v>1.9706692578802719E-2</v>
      </c>
      <c r="K12" s="17">
        <f t="shared" si="1"/>
        <v>0</v>
      </c>
      <c r="L12" s="12">
        <v>36.1</v>
      </c>
      <c r="M12" s="12">
        <v>76.2</v>
      </c>
    </row>
    <row r="13" spans="1:14" x14ac:dyDescent="0.2">
      <c r="A13" s="3" t="s">
        <v>1</v>
      </c>
      <c r="B13" s="3" t="s">
        <v>15</v>
      </c>
      <c r="C13" s="3" t="s">
        <v>68</v>
      </c>
      <c r="D13" s="3">
        <v>13.1</v>
      </c>
      <c r="E13" s="3">
        <v>1850126</v>
      </c>
      <c r="F13" s="3">
        <v>641249</v>
      </c>
      <c r="G13" s="3">
        <v>5</v>
      </c>
      <c r="H13" s="12">
        <v>16.7</v>
      </c>
      <c r="I13" s="12">
        <v>7.2</v>
      </c>
      <c r="J13" s="15">
        <f t="shared" si="0"/>
        <v>8.3546143008101439E-3</v>
      </c>
      <c r="K13" s="17">
        <f t="shared" si="1"/>
        <v>0</v>
      </c>
      <c r="L13" s="12">
        <v>36.1</v>
      </c>
      <c r="M13" s="12">
        <v>76</v>
      </c>
    </row>
    <row r="14" spans="1:14" x14ac:dyDescent="0.2">
      <c r="A14" s="2" t="s">
        <v>1</v>
      </c>
      <c r="B14" s="2" t="s">
        <v>15</v>
      </c>
      <c r="C14" s="2" t="s">
        <v>69</v>
      </c>
      <c r="D14" s="2">
        <v>13.3</v>
      </c>
      <c r="E14" s="2">
        <v>1857621</v>
      </c>
      <c r="F14" s="2">
        <v>647255</v>
      </c>
      <c r="G14" s="2">
        <v>5</v>
      </c>
      <c r="H14" s="12">
        <v>16.5</v>
      </c>
      <c r="I14" s="12">
        <v>7.2</v>
      </c>
      <c r="J14" s="15">
        <f t="shared" si="0"/>
        <v>9.3660964773434347E-3</v>
      </c>
      <c r="K14" s="17">
        <f t="shared" si="1"/>
        <v>0</v>
      </c>
      <c r="L14" s="12">
        <v>36.1</v>
      </c>
      <c r="M14" s="12">
        <v>76.5</v>
      </c>
    </row>
    <row r="15" spans="1:14" x14ac:dyDescent="0.2">
      <c r="A15" s="3" t="s">
        <v>1</v>
      </c>
      <c r="B15" s="3" t="s">
        <v>15</v>
      </c>
      <c r="C15" s="3" t="s">
        <v>70</v>
      </c>
      <c r="D15" s="3">
        <v>13.2</v>
      </c>
      <c r="E15" s="3">
        <v>1873272</v>
      </c>
      <c r="F15" s="3">
        <v>659646</v>
      </c>
      <c r="G15" s="3">
        <v>5</v>
      </c>
      <c r="H15" s="12">
        <v>16.600000000000001</v>
      </c>
      <c r="I15" s="12">
        <v>7.2</v>
      </c>
      <c r="J15" s="15">
        <f t="shared" si="0"/>
        <v>1.9143923183289429E-2</v>
      </c>
      <c r="K15" s="17">
        <f t="shared" si="1"/>
        <v>0</v>
      </c>
      <c r="L15" s="12">
        <v>36.700000000000003</v>
      </c>
      <c r="M15" s="12">
        <v>76.099999999999994</v>
      </c>
    </row>
    <row r="16" spans="1:14" x14ac:dyDescent="0.2">
      <c r="A16" s="2" t="s">
        <v>2</v>
      </c>
      <c r="B16" s="2" t="s">
        <v>15</v>
      </c>
      <c r="C16" s="2" t="s">
        <v>64</v>
      </c>
      <c r="D16" s="2">
        <v>21.9</v>
      </c>
      <c r="E16" s="2">
        <v>3101012</v>
      </c>
      <c r="F16" s="2">
        <v>920260</v>
      </c>
      <c r="G16" s="2">
        <v>3</v>
      </c>
      <c r="H16" s="12">
        <v>5.0999999999999996</v>
      </c>
      <c r="I16" s="12">
        <v>3</v>
      </c>
      <c r="J16" s="15">
        <f t="shared" si="0"/>
        <v>0.3950816043756803</v>
      </c>
      <c r="K16" s="17">
        <f t="shared" si="1"/>
        <v>-2</v>
      </c>
      <c r="L16" s="12">
        <v>69.7</v>
      </c>
      <c r="M16" s="12">
        <v>52</v>
      </c>
    </row>
    <row r="17" spans="1:13" x14ac:dyDescent="0.2">
      <c r="A17" s="3" t="s">
        <v>2</v>
      </c>
      <c r="B17" s="3" t="s">
        <v>15</v>
      </c>
      <c r="C17" s="3" t="s">
        <v>65</v>
      </c>
      <c r="D17" s="3">
        <v>22.5</v>
      </c>
      <c r="E17" s="3">
        <v>3108929</v>
      </c>
      <c r="F17" s="3">
        <v>927144</v>
      </c>
      <c r="G17" s="3">
        <v>3</v>
      </c>
      <c r="H17" s="12">
        <v>5.6</v>
      </c>
      <c r="I17" s="12">
        <v>3.3</v>
      </c>
      <c r="J17" s="15">
        <f t="shared" si="0"/>
        <v>7.480494642818334E-3</v>
      </c>
      <c r="K17" s="17">
        <f t="shared" si="1"/>
        <v>0</v>
      </c>
      <c r="L17" s="12">
        <v>70.5</v>
      </c>
      <c r="M17" s="12">
        <v>52.7</v>
      </c>
    </row>
    <row r="18" spans="1:13" x14ac:dyDescent="0.2">
      <c r="A18" s="2" t="s">
        <v>2</v>
      </c>
      <c r="B18" s="2" t="s">
        <v>15</v>
      </c>
      <c r="C18" s="2" t="s">
        <v>66</v>
      </c>
      <c r="D18" s="2">
        <v>22.2</v>
      </c>
      <c r="E18" s="2">
        <v>3121223</v>
      </c>
      <c r="F18" s="2">
        <v>933606</v>
      </c>
      <c r="G18" s="2">
        <v>3</v>
      </c>
      <c r="H18" s="12">
        <v>5.6</v>
      </c>
      <c r="I18" s="12">
        <v>3.5</v>
      </c>
      <c r="J18" s="15">
        <f t="shared" si="0"/>
        <v>6.9697911004115865E-3</v>
      </c>
      <c r="K18" s="17">
        <f t="shared" si="1"/>
        <v>0</v>
      </c>
      <c r="L18" s="12">
        <v>70.8</v>
      </c>
      <c r="M18" s="12">
        <v>52.8</v>
      </c>
    </row>
    <row r="19" spans="1:13" x14ac:dyDescent="0.2">
      <c r="A19" s="3" t="s">
        <v>2</v>
      </c>
      <c r="B19" s="3" t="s">
        <v>15</v>
      </c>
      <c r="C19" s="3" t="s">
        <v>67</v>
      </c>
      <c r="D19" s="3">
        <v>22.4</v>
      </c>
      <c r="E19" s="3">
        <v>3136692</v>
      </c>
      <c r="F19" s="3">
        <v>946812</v>
      </c>
      <c r="G19" s="3">
        <v>3</v>
      </c>
      <c r="H19" s="12">
        <v>5.5</v>
      </c>
      <c r="I19" s="12">
        <v>3.4</v>
      </c>
      <c r="J19" s="15">
        <f t="shared" si="0"/>
        <v>1.4145153308783362E-2</v>
      </c>
      <c r="K19" s="17">
        <f t="shared" si="1"/>
        <v>0</v>
      </c>
      <c r="L19" s="12">
        <v>71.099999999999994</v>
      </c>
      <c r="M19" s="12">
        <v>53.2</v>
      </c>
    </row>
    <row r="20" spans="1:13" x14ac:dyDescent="0.2">
      <c r="A20" s="2" t="s">
        <v>2</v>
      </c>
      <c r="B20" s="2" t="s">
        <v>15</v>
      </c>
      <c r="C20" s="2" t="s">
        <v>68</v>
      </c>
      <c r="D20" s="2">
        <v>22.8</v>
      </c>
      <c r="E20" s="2">
        <v>3148922</v>
      </c>
      <c r="F20" s="2">
        <v>953167</v>
      </c>
      <c r="G20" s="2">
        <v>3</v>
      </c>
      <c r="H20" s="12">
        <v>5.8</v>
      </c>
      <c r="I20" s="12">
        <v>3.7</v>
      </c>
      <c r="J20" s="15">
        <f t="shared" si="0"/>
        <v>6.7119977355589071E-3</v>
      </c>
      <c r="K20" s="17">
        <f t="shared" si="1"/>
        <v>0</v>
      </c>
      <c r="L20" s="12">
        <v>71.2</v>
      </c>
      <c r="M20" s="12">
        <v>52.9</v>
      </c>
    </row>
    <row r="21" spans="1:13" x14ac:dyDescent="0.2">
      <c r="A21" s="3" t="s">
        <v>2</v>
      </c>
      <c r="B21" s="3" t="s">
        <v>15</v>
      </c>
      <c r="C21" s="3" t="s">
        <v>69</v>
      </c>
      <c r="D21" s="3">
        <v>22.9</v>
      </c>
      <c r="E21" s="3">
        <v>3162657</v>
      </c>
      <c r="F21" s="3">
        <v>961519</v>
      </c>
      <c r="G21" s="3">
        <v>3</v>
      </c>
      <c r="H21" s="12">
        <v>5.9</v>
      </c>
      <c r="I21" s="12">
        <v>3.8</v>
      </c>
      <c r="J21" s="15">
        <f t="shared" si="0"/>
        <v>8.7623679795880462E-3</v>
      </c>
      <c r="K21" s="17">
        <f t="shared" si="1"/>
        <v>0</v>
      </c>
      <c r="L21" s="12">
        <v>71.7</v>
      </c>
      <c r="M21" s="12">
        <v>53.2</v>
      </c>
    </row>
    <row r="22" spans="1:13" x14ac:dyDescent="0.2">
      <c r="A22" s="2" t="s">
        <v>2</v>
      </c>
      <c r="B22" s="2" t="s">
        <v>15</v>
      </c>
      <c r="C22" s="2" t="s">
        <v>70</v>
      </c>
      <c r="D22" s="2">
        <v>22.9</v>
      </c>
      <c r="E22" s="2">
        <v>3173708</v>
      </c>
      <c r="F22" s="2">
        <v>969709</v>
      </c>
      <c r="G22" s="2">
        <v>3</v>
      </c>
      <c r="H22" s="12">
        <v>6.1</v>
      </c>
      <c r="I22" s="12">
        <v>3.9</v>
      </c>
      <c r="J22" s="15">
        <f t="shared" si="0"/>
        <v>8.5177723997133699E-3</v>
      </c>
      <c r="K22" s="17">
        <f t="shared" si="1"/>
        <v>0</v>
      </c>
      <c r="L22" s="12">
        <v>72</v>
      </c>
      <c r="M22" s="12">
        <v>53.3</v>
      </c>
    </row>
    <row r="23" spans="1:13" x14ac:dyDescent="0.2">
      <c r="A23" s="3" t="s">
        <v>3</v>
      </c>
      <c r="B23" s="3" t="s">
        <v>15</v>
      </c>
      <c r="C23" s="3" t="s">
        <v>64</v>
      </c>
      <c r="D23" s="3">
        <v>21</v>
      </c>
      <c r="E23" s="3">
        <v>4204032</v>
      </c>
      <c r="F23" s="3">
        <v>542241</v>
      </c>
      <c r="G23" s="3">
        <v>1</v>
      </c>
      <c r="H23" s="12">
        <v>2.2000000000000002</v>
      </c>
      <c r="I23" s="12">
        <v>1.3</v>
      </c>
      <c r="J23" s="15">
        <f t="shared" si="0"/>
        <v>-0.44082090606563412</v>
      </c>
      <c r="K23" s="17">
        <f t="shared" si="1"/>
        <v>-2</v>
      </c>
      <c r="L23" s="12">
        <v>72.400000000000006</v>
      </c>
      <c r="M23" s="12">
        <v>28.3</v>
      </c>
    </row>
    <row r="24" spans="1:13" x14ac:dyDescent="0.2">
      <c r="A24" s="2" t="s">
        <v>3</v>
      </c>
      <c r="B24" s="2" t="s">
        <v>15</v>
      </c>
      <c r="C24" s="2" t="s">
        <v>65</v>
      </c>
      <c r="D24" s="2">
        <v>21</v>
      </c>
      <c r="E24" s="2">
        <v>4211982</v>
      </c>
      <c r="F24" s="2">
        <v>546348</v>
      </c>
      <c r="G24" s="2">
        <v>1</v>
      </c>
      <c r="H24" s="12">
        <v>2</v>
      </c>
      <c r="I24" s="12">
        <v>1.5</v>
      </c>
      <c r="J24" s="15">
        <f t="shared" si="0"/>
        <v>7.574122945332426E-3</v>
      </c>
      <c r="K24" s="17">
        <f t="shared" si="1"/>
        <v>0</v>
      </c>
      <c r="L24" s="12">
        <v>72.3</v>
      </c>
      <c r="M24" s="12">
        <v>28</v>
      </c>
    </row>
    <row r="25" spans="1:13" x14ac:dyDescent="0.2">
      <c r="A25" s="3" t="s">
        <v>3</v>
      </c>
      <c r="B25" s="3" t="s">
        <v>15</v>
      </c>
      <c r="C25" s="3" t="s">
        <v>66</v>
      </c>
      <c r="D25" s="3">
        <v>20.8</v>
      </c>
      <c r="E25" s="3">
        <v>4222216</v>
      </c>
      <c r="F25" s="3">
        <v>558202</v>
      </c>
      <c r="G25" s="3">
        <v>1</v>
      </c>
      <c r="H25" s="12">
        <v>2.9</v>
      </c>
      <c r="I25" s="12">
        <v>1.3</v>
      </c>
      <c r="J25" s="15">
        <f t="shared" si="0"/>
        <v>2.1696793984786255E-2</v>
      </c>
      <c r="K25" s="17">
        <f t="shared" si="1"/>
        <v>0</v>
      </c>
      <c r="L25" s="12">
        <v>72.2</v>
      </c>
      <c r="M25" s="12">
        <v>28.6</v>
      </c>
    </row>
    <row r="26" spans="1:13" x14ac:dyDescent="0.2">
      <c r="A26" s="2" t="s">
        <v>3</v>
      </c>
      <c r="B26" s="2" t="s">
        <v>15</v>
      </c>
      <c r="C26" s="2" t="s">
        <v>67</v>
      </c>
      <c r="D26" s="2">
        <v>21.3</v>
      </c>
      <c r="E26" s="2">
        <v>4240513</v>
      </c>
      <c r="F26" s="2">
        <v>562263</v>
      </c>
      <c r="G26" s="2">
        <v>1</v>
      </c>
      <c r="H26" s="12">
        <v>2.4</v>
      </c>
      <c r="I26" s="12">
        <v>1.5</v>
      </c>
      <c r="J26" s="15">
        <f t="shared" si="0"/>
        <v>7.2751441234535173E-3</v>
      </c>
      <c r="K26" s="17">
        <f t="shared" si="1"/>
        <v>0</v>
      </c>
      <c r="L26" s="12">
        <v>73.3</v>
      </c>
      <c r="M26" s="12">
        <v>28.3</v>
      </c>
    </row>
    <row r="27" spans="1:13" x14ac:dyDescent="0.2">
      <c r="A27" s="3" t="s">
        <v>3</v>
      </c>
      <c r="B27" s="3" t="s">
        <v>15</v>
      </c>
      <c r="C27" s="3" t="s">
        <v>68</v>
      </c>
      <c r="D27" s="3">
        <v>21.6</v>
      </c>
      <c r="E27" s="3">
        <v>4244330</v>
      </c>
      <c r="F27" s="3">
        <v>569372</v>
      </c>
      <c r="G27" s="3">
        <v>1</v>
      </c>
      <c r="H27" s="12">
        <v>3.3</v>
      </c>
      <c r="I27" s="12">
        <v>1.7</v>
      </c>
      <c r="J27" s="15">
        <f t="shared" si="0"/>
        <v>1.264354937102388E-2</v>
      </c>
      <c r="K27" s="17">
        <f t="shared" si="1"/>
        <v>0</v>
      </c>
      <c r="L27" s="12">
        <v>73.3</v>
      </c>
      <c r="M27" s="12">
        <v>29.1</v>
      </c>
    </row>
    <row r="28" spans="1:13" x14ac:dyDescent="0.2">
      <c r="A28" s="2" t="s">
        <v>3</v>
      </c>
      <c r="B28" s="2" t="s">
        <v>15</v>
      </c>
      <c r="C28" s="2" t="s">
        <v>69</v>
      </c>
      <c r="D28" s="2">
        <v>21.3</v>
      </c>
      <c r="E28" s="2">
        <v>4263938</v>
      </c>
      <c r="F28" s="2">
        <v>579372</v>
      </c>
      <c r="G28" s="2">
        <v>1</v>
      </c>
      <c r="H28" s="12">
        <v>3.2</v>
      </c>
      <c r="I28" s="12">
        <v>1.6</v>
      </c>
      <c r="J28" s="15">
        <f t="shared" si="0"/>
        <v>1.7563209992763958E-2</v>
      </c>
      <c r="K28" s="17">
        <f t="shared" si="1"/>
        <v>0</v>
      </c>
      <c r="L28" s="12">
        <v>73.400000000000006</v>
      </c>
      <c r="M28" s="12">
        <v>29.2</v>
      </c>
    </row>
    <row r="29" spans="1:13" x14ac:dyDescent="0.2">
      <c r="A29" s="3" t="s">
        <v>3</v>
      </c>
      <c r="B29" s="3" t="s">
        <v>15</v>
      </c>
      <c r="C29" s="3" t="s">
        <v>70</v>
      </c>
      <c r="D29" s="3">
        <v>21.8</v>
      </c>
      <c r="E29" s="3">
        <v>4269589</v>
      </c>
      <c r="F29" s="3">
        <v>588601</v>
      </c>
      <c r="G29" s="3">
        <v>1</v>
      </c>
      <c r="H29" s="12">
        <v>3.2</v>
      </c>
      <c r="I29" s="12">
        <v>1.8</v>
      </c>
      <c r="J29" s="15">
        <f t="shared" si="0"/>
        <v>1.5929316570355487E-2</v>
      </c>
      <c r="K29" s="17">
        <f t="shared" si="1"/>
        <v>0</v>
      </c>
      <c r="L29" s="12">
        <v>74.2</v>
      </c>
      <c r="M29" s="12">
        <v>29.3</v>
      </c>
    </row>
    <row r="30" spans="1:13" x14ac:dyDescent="0.2">
      <c r="A30" s="2" t="s">
        <v>4</v>
      </c>
      <c r="B30" s="2" t="s">
        <v>15</v>
      </c>
      <c r="C30" s="2" t="s">
        <v>64</v>
      </c>
      <c r="D30" s="2">
        <v>14.9</v>
      </c>
      <c r="E30" s="2">
        <v>2100658</v>
      </c>
      <c r="F30" s="2">
        <v>780266</v>
      </c>
      <c r="G30" s="2">
        <v>4</v>
      </c>
      <c r="H30" s="12">
        <v>11.1</v>
      </c>
      <c r="I30" s="12">
        <v>7.1</v>
      </c>
      <c r="J30" s="15">
        <f t="shared" si="0"/>
        <v>0.32562805703694014</v>
      </c>
      <c r="K30" s="17">
        <f t="shared" si="1"/>
        <v>3</v>
      </c>
      <c r="L30" s="12">
        <v>52</v>
      </c>
      <c r="M30" s="12">
        <v>71.8</v>
      </c>
    </row>
    <row r="31" spans="1:13" x14ac:dyDescent="0.2">
      <c r="A31" s="3" t="s">
        <v>4</v>
      </c>
      <c r="B31" s="3" t="s">
        <v>15</v>
      </c>
      <c r="C31" s="3" t="s">
        <v>65</v>
      </c>
      <c r="D31" s="3">
        <v>14.6</v>
      </c>
      <c r="E31" s="3">
        <v>2108586</v>
      </c>
      <c r="F31" s="3">
        <v>785414</v>
      </c>
      <c r="G31" s="3">
        <v>4</v>
      </c>
      <c r="H31" s="12">
        <v>11.4</v>
      </c>
      <c r="I31" s="12">
        <v>7.3</v>
      </c>
      <c r="J31" s="15">
        <f t="shared" si="0"/>
        <v>6.5977499980775789E-3</v>
      </c>
      <c r="K31" s="17">
        <f t="shared" si="1"/>
        <v>0</v>
      </c>
      <c r="L31" s="12">
        <v>52.7</v>
      </c>
      <c r="M31" s="12">
        <v>71.900000000000006</v>
      </c>
    </row>
    <row r="32" spans="1:13" x14ac:dyDescent="0.2">
      <c r="A32" s="2" t="s">
        <v>4</v>
      </c>
      <c r="B32" s="2" t="s">
        <v>15</v>
      </c>
      <c r="C32" s="2" t="s">
        <v>66</v>
      </c>
      <c r="D32" s="2">
        <v>14.8</v>
      </c>
      <c r="E32" s="2">
        <v>2128464</v>
      </c>
      <c r="F32" s="2">
        <v>798907</v>
      </c>
      <c r="G32" s="2">
        <v>4</v>
      </c>
      <c r="H32" s="12">
        <v>11.7</v>
      </c>
      <c r="I32" s="12">
        <v>7.5</v>
      </c>
      <c r="J32" s="15">
        <f t="shared" si="0"/>
        <v>1.7179474773813555E-2</v>
      </c>
      <c r="K32" s="17">
        <f t="shared" si="1"/>
        <v>0</v>
      </c>
      <c r="L32" s="12">
        <v>52.6</v>
      </c>
      <c r="M32" s="12">
        <v>72.3</v>
      </c>
    </row>
    <row r="33" spans="1:13" x14ac:dyDescent="0.2">
      <c r="A33" s="3" t="s">
        <v>4</v>
      </c>
      <c r="B33" s="3" t="s">
        <v>15</v>
      </c>
      <c r="C33" s="3" t="s">
        <v>67</v>
      </c>
      <c r="D33" s="3">
        <v>14.8</v>
      </c>
      <c r="E33" s="3">
        <v>2137442</v>
      </c>
      <c r="F33" s="3">
        <v>805140</v>
      </c>
      <c r="G33" s="3">
        <v>4</v>
      </c>
      <c r="H33" s="12">
        <v>12</v>
      </c>
      <c r="I33" s="12">
        <v>7.4</v>
      </c>
      <c r="J33" s="15">
        <f t="shared" si="0"/>
        <v>7.8019093586612709E-3</v>
      </c>
      <c r="K33" s="17">
        <f t="shared" si="1"/>
        <v>0</v>
      </c>
      <c r="L33" s="12">
        <v>52.7</v>
      </c>
      <c r="M33" s="12">
        <v>72.8</v>
      </c>
    </row>
    <row r="34" spans="1:13" x14ac:dyDescent="0.2">
      <c r="A34" s="2" t="s">
        <v>4</v>
      </c>
      <c r="B34" s="2" t="s">
        <v>15</v>
      </c>
      <c r="C34" s="2" t="s">
        <v>68</v>
      </c>
      <c r="D34" s="2">
        <v>15.4</v>
      </c>
      <c r="E34" s="2">
        <v>2150710</v>
      </c>
      <c r="F34" s="2">
        <v>811340</v>
      </c>
      <c r="G34" s="2">
        <v>4</v>
      </c>
      <c r="H34" s="12">
        <v>12.2</v>
      </c>
      <c r="I34" s="12">
        <v>7.7</v>
      </c>
      <c r="J34" s="15">
        <f t="shared" si="0"/>
        <v>7.7005241324490147E-3</v>
      </c>
      <c r="K34" s="17">
        <f t="shared" si="1"/>
        <v>0</v>
      </c>
      <c r="L34" s="12">
        <v>53.4</v>
      </c>
      <c r="M34" s="12">
        <v>73.3</v>
      </c>
    </row>
    <row r="35" spans="1:13" x14ac:dyDescent="0.2">
      <c r="A35" s="3" t="s">
        <v>4</v>
      </c>
      <c r="B35" s="3" t="s">
        <v>15</v>
      </c>
      <c r="C35" s="3" t="s">
        <v>69</v>
      </c>
      <c r="D35" s="3">
        <v>15.3</v>
      </c>
      <c r="E35" s="3">
        <v>2161563</v>
      </c>
      <c r="F35" s="3">
        <v>817419</v>
      </c>
      <c r="G35" s="3">
        <v>4</v>
      </c>
      <c r="H35" s="12">
        <v>12.5</v>
      </c>
      <c r="I35" s="12">
        <v>7.6</v>
      </c>
      <c r="J35" s="15">
        <f t="shared" si="0"/>
        <v>7.4925432001380432E-3</v>
      </c>
      <c r="K35" s="17">
        <f t="shared" si="1"/>
        <v>0</v>
      </c>
      <c r="L35" s="12">
        <v>53.5</v>
      </c>
      <c r="M35" s="12">
        <v>73.5</v>
      </c>
    </row>
    <row r="36" spans="1:13" x14ac:dyDescent="0.2">
      <c r="A36" s="2" t="s">
        <v>4</v>
      </c>
      <c r="B36" s="2" t="s">
        <v>15</v>
      </c>
      <c r="C36" s="2" t="s">
        <v>70</v>
      </c>
      <c r="D36" s="2">
        <v>15.4</v>
      </c>
      <c r="E36" s="2">
        <v>2168946</v>
      </c>
      <c r="F36" s="2">
        <v>826054</v>
      </c>
      <c r="G36" s="2">
        <v>4</v>
      </c>
      <c r="H36" s="12">
        <v>13</v>
      </c>
      <c r="I36" s="12">
        <v>7.8</v>
      </c>
      <c r="J36" s="15">
        <f t="shared" si="0"/>
        <v>1.0563737813777268E-2</v>
      </c>
      <c r="K36" s="17">
        <f t="shared" si="1"/>
        <v>0</v>
      </c>
      <c r="L36" s="12">
        <v>54.2</v>
      </c>
      <c r="M36" s="12">
        <v>73.8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CBDA7"/>
  </sheetPr>
  <dimension ref="A1:H36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15" customWidth="1"/>
    <col min="5" max="5" width="14" customWidth="1"/>
    <col min="6" max="6" width="15" customWidth="1"/>
    <col min="7" max="8" width="16" customWidth="1"/>
  </cols>
  <sheetData>
    <row r="1" spans="1:8" ht="28" x14ac:dyDescent="0.2">
      <c r="A1" s="8" t="s">
        <v>237</v>
      </c>
      <c r="B1" s="8" t="s">
        <v>238</v>
      </c>
      <c r="C1" s="8" t="s">
        <v>63</v>
      </c>
      <c r="D1" s="8" t="s">
        <v>285</v>
      </c>
      <c r="E1" s="8" t="s">
        <v>286</v>
      </c>
      <c r="F1" s="8" t="s">
        <v>287</v>
      </c>
      <c r="G1" s="8" t="s">
        <v>288</v>
      </c>
      <c r="H1" s="18" t="s">
        <v>289</v>
      </c>
    </row>
    <row r="2" spans="1:8" x14ac:dyDescent="0.2">
      <c r="A2" s="5" t="s">
        <v>0</v>
      </c>
      <c r="B2" s="2" t="s">
        <v>15</v>
      </c>
      <c r="C2" s="2" t="s">
        <v>64</v>
      </c>
      <c r="D2" s="2">
        <v>67.7</v>
      </c>
      <c r="E2" s="2">
        <v>22.3</v>
      </c>
      <c r="F2" s="2">
        <v>10</v>
      </c>
      <c r="G2" s="2">
        <v>24</v>
      </c>
      <c r="H2" s="19">
        <v>10</v>
      </c>
    </row>
    <row r="3" spans="1:8" x14ac:dyDescent="0.2">
      <c r="A3" s="6" t="s">
        <v>0</v>
      </c>
      <c r="B3" s="3" t="s">
        <v>15</v>
      </c>
      <c r="C3" s="3" t="s">
        <v>65</v>
      </c>
      <c r="D3" s="3">
        <v>67.8</v>
      </c>
      <c r="E3" s="3">
        <v>22.4</v>
      </c>
      <c r="F3" s="3">
        <v>9.8000000000000007</v>
      </c>
      <c r="G3" s="3">
        <v>24.1</v>
      </c>
      <c r="H3" s="19">
        <v>10</v>
      </c>
    </row>
    <row r="4" spans="1:8" x14ac:dyDescent="0.2">
      <c r="A4" s="5" t="s">
        <v>0</v>
      </c>
      <c r="B4" s="2" t="s">
        <v>15</v>
      </c>
      <c r="C4" s="2" t="s">
        <v>66</v>
      </c>
      <c r="D4" s="2">
        <v>68.599999999999994</v>
      </c>
      <c r="E4" s="2">
        <v>21.4</v>
      </c>
      <c r="F4" s="2">
        <v>10</v>
      </c>
      <c r="G4" s="2">
        <v>24.5</v>
      </c>
      <c r="H4" s="19">
        <v>10</v>
      </c>
    </row>
    <row r="5" spans="1:8" x14ac:dyDescent="0.2">
      <c r="A5" s="6" t="s">
        <v>0</v>
      </c>
      <c r="B5" s="3" t="s">
        <v>15</v>
      </c>
      <c r="C5" s="3" t="s">
        <v>67</v>
      </c>
      <c r="D5" s="3">
        <v>68.900000000000006</v>
      </c>
      <c r="E5" s="3">
        <v>21.2</v>
      </c>
      <c r="F5" s="3">
        <v>9.9</v>
      </c>
      <c r="G5" s="3">
        <v>24.7</v>
      </c>
      <c r="H5" s="19">
        <v>10</v>
      </c>
    </row>
    <row r="6" spans="1:8" x14ac:dyDescent="0.2">
      <c r="A6" s="5" t="s">
        <v>0</v>
      </c>
      <c r="B6" s="2" t="s">
        <v>15</v>
      </c>
      <c r="C6" s="2" t="s">
        <v>68</v>
      </c>
      <c r="D6" s="2">
        <v>68.900000000000006</v>
      </c>
      <c r="E6" s="2">
        <v>20.8</v>
      </c>
      <c r="F6" s="2">
        <v>10.3</v>
      </c>
      <c r="G6" s="2">
        <v>24.9</v>
      </c>
      <c r="H6" s="19">
        <v>10</v>
      </c>
    </row>
    <row r="7" spans="1:8" x14ac:dyDescent="0.2">
      <c r="A7" s="6" t="s">
        <v>0</v>
      </c>
      <c r="B7" s="3" t="s">
        <v>15</v>
      </c>
      <c r="C7" s="3" t="s">
        <v>69</v>
      </c>
      <c r="D7" s="3">
        <v>69.3</v>
      </c>
      <c r="E7" s="3">
        <v>20.8</v>
      </c>
      <c r="F7" s="3">
        <v>9.9</v>
      </c>
      <c r="G7" s="3">
        <v>25.2</v>
      </c>
      <c r="H7" s="19">
        <v>10</v>
      </c>
    </row>
    <row r="8" spans="1:8" x14ac:dyDescent="0.2">
      <c r="A8" s="5" t="s">
        <v>0</v>
      </c>
      <c r="B8" s="2" t="s">
        <v>15</v>
      </c>
      <c r="C8" s="2" t="s">
        <v>70</v>
      </c>
      <c r="D8" s="2">
        <v>69.8</v>
      </c>
      <c r="E8" s="2">
        <v>20.100000000000001</v>
      </c>
      <c r="F8" s="2">
        <v>10.1</v>
      </c>
      <c r="G8" s="2">
        <v>25.1</v>
      </c>
      <c r="H8" s="19">
        <v>10</v>
      </c>
    </row>
    <row r="9" spans="1:8" x14ac:dyDescent="0.2">
      <c r="A9" s="3" t="s">
        <v>1</v>
      </c>
      <c r="B9" s="3" t="s">
        <v>15</v>
      </c>
      <c r="C9" s="3" t="s">
        <v>64</v>
      </c>
      <c r="D9" s="3">
        <v>62.3</v>
      </c>
      <c r="E9" s="3">
        <v>25.8</v>
      </c>
      <c r="F9" s="3">
        <v>11.9</v>
      </c>
      <c r="G9" s="3">
        <v>18.100000000000001</v>
      </c>
      <c r="H9" s="19">
        <v>10</v>
      </c>
    </row>
    <row r="10" spans="1:8" x14ac:dyDescent="0.2">
      <c r="A10" s="2" t="s">
        <v>1</v>
      </c>
      <c r="B10" s="2" t="s">
        <v>15</v>
      </c>
      <c r="C10" s="2" t="s">
        <v>65</v>
      </c>
      <c r="D10" s="2">
        <v>62.8</v>
      </c>
      <c r="E10" s="2">
        <v>25.1</v>
      </c>
      <c r="F10" s="2">
        <v>12.1</v>
      </c>
      <c r="G10" s="2">
        <v>18.399999999999999</v>
      </c>
      <c r="H10" s="19">
        <v>10</v>
      </c>
    </row>
    <row r="11" spans="1:8" x14ac:dyDescent="0.2">
      <c r="A11" s="3" t="s">
        <v>1</v>
      </c>
      <c r="B11" s="3" t="s">
        <v>15</v>
      </c>
      <c r="C11" s="3" t="s">
        <v>66</v>
      </c>
      <c r="D11" s="3">
        <v>62.8</v>
      </c>
      <c r="E11" s="3">
        <v>25.1</v>
      </c>
      <c r="F11" s="3">
        <v>12.1</v>
      </c>
      <c r="G11" s="3">
        <v>18.100000000000001</v>
      </c>
      <c r="H11" s="19">
        <v>10</v>
      </c>
    </row>
    <row r="12" spans="1:8" x14ac:dyDescent="0.2">
      <c r="A12" s="2" t="s">
        <v>1</v>
      </c>
      <c r="B12" s="2" t="s">
        <v>15</v>
      </c>
      <c r="C12" s="2" t="s">
        <v>67</v>
      </c>
      <c r="D12" s="2">
        <v>62.9</v>
      </c>
      <c r="E12" s="2">
        <v>24.8</v>
      </c>
      <c r="F12" s="2">
        <v>12.3</v>
      </c>
      <c r="G12" s="2">
        <v>18.8</v>
      </c>
      <c r="H12" s="19">
        <v>10</v>
      </c>
    </row>
    <row r="13" spans="1:8" x14ac:dyDescent="0.2">
      <c r="A13" s="3" t="s">
        <v>1</v>
      </c>
      <c r="B13" s="3" t="s">
        <v>15</v>
      </c>
      <c r="C13" s="3" t="s">
        <v>68</v>
      </c>
      <c r="D13" s="3">
        <v>63.5</v>
      </c>
      <c r="E13" s="3">
        <v>24.5</v>
      </c>
      <c r="F13" s="3">
        <v>12</v>
      </c>
      <c r="G13" s="3">
        <v>18.899999999999999</v>
      </c>
      <c r="H13" s="19">
        <v>10</v>
      </c>
    </row>
    <row r="14" spans="1:8" x14ac:dyDescent="0.2">
      <c r="A14" s="2" t="s">
        <v>1</v>
      </c>
      <c r="B14" s="2" t="s">
        <v>15</v>
      </c>
      <c r="C14" s="2" t="s">
        <v>69</v>
      </c>
      <c r="D14" s="2">
        <v>63.6</v>
      </c>
      <c r="E14" s="2">
        <v>24.6</v>
      </c>
      <c r="F14" s="2">
        <v>11.8</v>
      </c>
      <c r="G14" s="2">
        <v>19.100000000000001</v>
      </c>
      <c r="H14" s="19">
        <v>10</v>
      </c>
    </row>
    <row r="15" spans="1:8" x14ac:dyDescent="0.2">
      <c r="A15" s="3" t="s">
        <v>1</v>
      </c>
      <c r="B15" s="3" t="s">
        <v>15</v>
      </c>
      <c r="C15" s="3" t="s">
        <v>70</v>
      </c>
      <c r="D15" s="3">
        <v>63.9</v>
      </c>
      <c r="E15" s="3">
        <v>23.9</v>
      </c>
      <c r="F15" s="3">
        <v>12.2</v>
      </c>
      <c r="G15" s="3">
        <v>19</v>
      </c>
      <c r="H15" s="19">
        <v>10</v>
      </c>
    </row>
    <row r="16" spans="1:8" x14ac:dyDescent="0.2">
      <c r="A16" s="2" t="s">
        <v>2</v>
      </c>
      <c r="B16" s="2" t="s">
        <v>15</v>
      </c>
      <c r="C16" s="2" t="s">
        <v>64</v>
      </c>
      <c r="D16" s="2">
        <v>64.2</v>
      </c>
      <c r="E16" s="2">
        <v>24.1</v>
      </c>
      <c r="F16" s="2">
        <v>11.7</v>
      </c>
      <c r="G16" s="2">
        <v>21.3</v>
      </c>
      <c r="H16" s="19">
        <v>10</v>
      </c>
    </row>
    <row r="17" spans="1:8" x14ac:dyDescent="0.2">
      <c r="A17" s="3" t="s">
        <v>2</v>
      </c>
      <c r="B17" s="3" t="s">
        <v>15</v>
      </c>
      <c r="C17" s="3" t="s">
        <v>65</v>
      </c>
      <c r="D17" s="3">
        <v>63.9</v>
      </c>
      <c r="E17" s="3">
        <v>24.4</v>
      </c>
      <c r="F17" s="3">
        <v>11.7</v>
      </c>
      <c r="G17" s="3">
        <v>21.1</v>
      </c>
      <c r="H17" s="19">
        <v>10</v>
      </c>
    </row>
    <row r="18" spans="1:8" x14ac:dyDescent="0.2">
      <c r="A18" s="2" t="s">
        <v>2</v>
      </c>
      <c r="B18" s="2" t="s">
        <v>15</v>
      </c>
      <c r="C18" s="2" t="s">
        <v>66</v>
      </c>
      <c r="D18" s="2">
        <v>64.3</v>
      </c>
      <c r="E18" s="2">
        <v>23.6</v>
      </c>
      <c r="F18" s="2">
        <v>12.1</v>
      </c>
      <c r="G18" s="2">
        <v>21.3</v>
      </c>
      <c r="H18" s="19">
        <v>10</v>
      </c>
    </row>
    <row r="19" spans="1:8" x14ac:dyDescent="0.2">
      <c r="A19" s="3" t="s">
        <v>2</v>
      </c>
      <c r="B19" s="3" t="s">
        <v>15</v>
      </c>
      <c r="C19" s="3" t="s">
        <v>67</v>
      </c>
      <c r="D19" s="3">
        <v>65.2</v>
      </c>
      <c r="E19" s="3">
        <v>22.5</v>
      </c>
      <c r="F19" s="3">
        <v>12.3</v>
      </c>
      <c r="G19" s="3">
        <v>21.8</v>
      </c>
      <c r="H19" s="19">
        <v>10</v>
      </c>
    </row>
    <row r="20" spans="1:8" x14ac:dyDescent="0.2">
      <c r="A20" s="2" t="s">
        <v>2</v>
      </c>
      <c r="B20" s="2" t="s">
        <v>15</v>
      </c>
      <c r="C20" s="2" t="s">
        <v>68</v>
      </c>
      <c r="D20" s="2">
        <v>65.400000000000006</v>
      </c>
      <c r="E20" s="2">
        <v>22.9</v>
      </c>
      <c r="F20" s="2">
        <v>11.7</v>
      </c>
      <c r="G20" s="2">
        <v>21.6</v>
      </c>
      <c r="H20" s="19">
        <v>10</v>
      </c>
    </row>
    <row r="21" spans="1:8" x14ac:dyDescent="0.2">
      <c r="A21" s="3" t="s">
        <v>2</v>
      </c>
      <c r="B21" s="3" t="s">
        <v>15</v>
      </c>
      <c r="C21" s="3" t="s">
        <v>69</v>
      </c>
      <c r="D21" s="3">
        <v>65.2</v>
      </c>
      <c r="E21" s="3">
        <v>22.9</v>
      </c>
      <c r="F21" s="3">
        <v>11.9</v>
      </c>
      <c r="G21" s="3">
        <v>22.1</v>
      </c>
      <c r="H21" s="19">
        <v>10</v>
      </c>
    </row>
    <row r="22" spans="1:8" x14ac:dyDescent="0.2">
      <c r="A22" s="2" t="s">
        <v>2</v>
      </c>
      <c r="B22" s="2" t="s">
        <v>15</v>
      </c>
      <c r="C22" s="2" t="s">
        <v>70</v>
      </c>
      <c r="D22" s="2">
        <v>65.8</v>
      </c>
      <c r="E22" s="2">
        <v>22.3</v>
      </c>
      <c r="F22" s="2">
        <v>11.9</v>
      </c>
      <c r="G22" s="2">
        <v>22</v>
      </c>
      <c r="H22" s="19">
        <v>10</v>
      </c>
    </row>
    <row r="23" spans="1:8" x14ac:dyDescent="0.2">
      <c r="A23" s="3" t="s">
        <v>3</v>
      </c>
      <c r="B23" s="3" t="s">
        <v>15</v>
      </c>
      <c r="C23" s="3" t="s">
        <v>64</v>
      </c>
      <c r="D23" s="3">
        <v>58.4</v>
      </c>
      <c r="E23" s="3">
        <v>29.7</v>
      </c>
      <c r="F23" s="3">
        <v>11.9</v>
      </c>
      <c r="G23" s="3">
        <v>27.9</v>
      </c>
      <c r="H23" s="19">
        <v>10</v>
      </c>
    </row>
    <row r="24" spans="1:8" x14ac:dyDescent="0.2">
      <c r="A24" s="2" t="s">
        <v>3</v>
      </c>
      <c r="B24" s="2" t="s">
        <v>15</v>
      </c>
      <c r="C24" s="2" t="s">
        <v>65</v>
      </c>
      <c r="D24" s="2">
        <v>58.6</v>
      </c>
      <c r="E24" s="2">
        <v>29.3</v>
      </c>
      <c r="F24" s="2">
        <v>12.1</v>
      </c>
      <c r="G24" s="2">
        <v>28.3</v>
      </c>
      <c r="H24" s="19">
        <v>10</v>
      </c>
    </row>
    <row r="25" spans="1:8" x14ac:dyDescent="0.2">
      <c r="A25" s="3" t="s">
        <v>3</v>
      </c>
      <c r="B25" s="3" t="s">
        <v>15</v>
      </c>
      <c r="C25" s="3" t="s">
        <v>66</v>
      </c>
      <c r="D25" s="3">
        <v>58.8</v>
      </c>
      <c r="E25" s="3">
        <v>29.1</v>
      </c>
      <c r="F25" s="3">
        <v>12.1</v>
      </c>
      <c r="G25" s="3">
        <v>28.2</v>
      </c>
      <c r="H25" s="19">
        <v>10</v>
      </c>
    </row>
    <row r="26" spans="1:8" x14ac:dyDescent="0.2">
      <c r="A26" s="2" t="s">
        <v>3</v>
      </c>
      <c r="B26" s="2" t="s">
        <v>15</v>
      </c>
      <c r="C26" s="2" t="s">
        <v>67</v>
      </c>
      <c r="D26" s="2">
        <v>58.6</v>
      </c>
      <c r="E26" s="2">
        <v>29.4</v>
      </c>
      <c r="F26" s="2">
        <v>12</v>
      </c>
      <c r="G26" s="2">
        <v>28.4</v>
      </c>
      <c r="H26" s="19">
        <v>10</v>
      </c>
    </row>
    <row r="27" spans="1:8" x14ac:dyDescent="0.2">
      <c r="A27" s="3" t="s">
        <v>3</v>
      </c>
      <c r="B27" s="3" t="s">
        <v>15</v>
      </c>
      <c r="C27" s="3" t="s">
        <v>68</v>
      </c>
      <c r="D27" s="3">
        <v>59.7</v>
      </c>
      <c r="E27" s="3">
        <v>28.4</v>
      </c>
      <c r="F27" s="3">
        <v>11.9</v>
      </c>
      <c r="G27" s="3">
        <v>28.7</v>
      </c>
      <c r="H27" s="19">
        <v>10</v>
      </c>
    </row>
    <row r="28" spans="1:8" x14ac:dyDescent="0.2">
      <c r="A28" s="2" t="s">
        <v>3</v>
      </c>
      <c r="B28" s="2" t="s">
        <v>15</v>
      </c>
      <c r="C28" s="2" t="s">
        <v>69</v>
      </c>
      <c r="D28" s="2">
        <v>59.2</v>
      </c>
      <c r="E28" s="2">
        <v>28.7</v>
      </c>
      <c r="F28" s="2">
        <v>12.1</v>
      </c>
      <c r="G28" s="2">
        <v>28.9</v>
      </c>
      <c r="H28" s="19">
        <v>10</v>
      </c>
    </row>
    <row r="29" spans="1:8" x14ac:dyDescent="0.2">
      <c r="A29" s="3" t="s">
        <v>3</v>
      </c>
      <c r="B29" s="3" t="s">
        <v>15</v>
      </c>
      <c r="C29" s="3" t="s">
        <v>70</v>
      </c>
      <c r="D29" s="3">
        <v>59.6</v>
      </c>
      <c r="E29" s="3">
        <v>28.1</v>
      </c>
      <c r="F29" s="3">
        <v>12.3</v>
      </c>
      <c r="G29" s="3">
        <v>29.4</v>
      </c>
      <c r="H29" s="19">
        <v>10</v>
      </c>
    </row>
    <row r="30" spans="1:8" x14ac:dyDescent="0.2">
      <c r="A30" s="2" t="s">
        <v>4</v>
      </c>
      <c r="B30" s="2" t="s">
        <v>15</v>
      </c>
      <c r="C30" s="2" t="s">
        <v>64</v>
      </c>
      <c r="D30" s="2">
        <v>59.8</v>
      </c>
      <c r="E30" s="2">
        <v>28.4</v>
      </c>
      <c r="F30" s="2">
        <v>11.8</v>
      </c>
      <c r="G30" s="2">
        <v>16.100000000000001</v>
      </c>
      <c r="H30" s="19">
        <v>10</v>
      </c>
    </row>
    <row r="31" spans="1:8" x14ac:dyDescent="0.2">
      <c r="A31" s="3" t="s">
        <v>4</v>
      </c>
      <c r="B31" s="3" t="s">
        <v>15</v>
      </c>
      <c r="C31" s="3" t="s">
        <v>65</v>
      </c>
      <c r="D31" s="3">
        <v>60.2</v>
      </c>
      <c r="E31" s="3">
        <v>27.5</v>
      </c>
      <c r="F31" s="3">
        <v>12.3</v>
      </c>
      <c r="G31" s="3">
        <v>16.399999999999999</v>
      </c>
      <c r="H31" s="19">
        <v>10</v>
      </c>
    </row>
    <row r="32" spans="1:8" x14ac:dyDescent="0.2">
      <c r="A32" s="2" t="s">
        <v>4</v>
      </c>
      <c r="B32" s="2" t="s">
        <v>15</v>
      </c>
      <c r="C32" s="2" t="s">
        <v>66</v>
      </c>
      <c r="D32" s="2">
        <v>61.1</v>
      </c>
      <c r="E32" s="2">
        <v>26.7</v>
      </c>
      <c r="F32" s="2">
        <v>12.2</v>
      </c>
      <c r="G32" s="2">
        <v>16.3</v>
      </c>
      <c r="H32" s="19">
        <v>10</v>
      </c>
    </row>
    <row r="33" spans="1:8" x14ac:dyDescent="0.2">
      <c r="A33" s="3" t="s">
        <v>4</v>
      </c>
      <c r="B33" s="3" t="s">
        <v>15</v>
      </c>
      <c r="C33" s="3" t="s">
        <v>67</v>
      </c>
      <c r="D33" s="3">
        <v>60.7</v>
      </c>
      <c r="E33" s="3">
        <v>27.2</v>
      </c>
      <c r="F33" s="3">
        <v>12.1</v>
      </c>
      <c r="G33" s="3">
        <v>16.5</v>
      </c>
      <c r="H33" s="19">
        <v>10</v>
      </c>
    </row>
    <row r="34" spans="1:8" x14ac:dyDescent="0.2">
      <c r="A34" s="2" t="s">
        <v>4</v>
      </c>
      <c r="B34" s="2" t="s">
        <v>15</v>
      </c>
      <c r="C34" s="2" t="s">
        <v>68</v>
      </c>
      <c r="D34" s="2">
        <v>61.1</v>
      </c>
      <c r="E34" s="2">
        <v>27</v>
      </c>
      <c r="F34" s="2">
        <v>11.9</v>
      </c>
      <c r="G34" s="2">
        <v>16.8</v>
      </c>
      <c r="H34" s="19">
        <v>10</v>
      </c>
    </row>
    <row r="35" spans="1:8" x14ac:dyDescent="0.2">
      <c r="A35" s="3" t="s">
        <v>4</v>
      </c>
      <c r="B35" s="3" t="s">
        <v>15</v>
      </c>
      <c r="C35" s="3" t="s">
        <v>69</v>
      </c>
      <c r="D35" s="3">
        <v>61.2</v>
      </c>
      <c r="E35" s="3">
        <v>26.8</v>
      </c>
      <c r="F35" s="3">
        <v>12</v>
      </c>
      <c r="G35" s="3">
        <v>17.3</v>
      </c>
      <c r="H35" s="19">
        <v>10</v>
      </c>
    </row>
    <row r="36" spans="1:8" x14ac:dyDescent="0.2">
      <c r="A36" s="2" t="s">
        <v>4</v>
      </c>
      <c r="B36" s="2" t="s">
        <v>15</v>
      </c>
      <c r="C36" s="2" t="s">
        <v>70</v>
      </c>
      <c r="D36" s="2">
        <v>62</v>
      </c>
      <c r="E36" s="2">
        <v>26.2</v>
      </c>
      <c r="F36" s="2">
        <v>11.8</v>
      </c>
      <c r="G36" s="2">
        <v>17.3</v>
      </c>
      <c r="H36" s="19">
        <v>10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7" x14ac:dyDescent="0.2">
      <c r="A1" t="s">
        <v>237</v>
      </c>
      <c r="B1" t="s">
        <v>238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</row>
    <row r="2" spans="1:7" x14ac:dyDescent="0.2">
      <c r="A2" t="s">
        <v>0</v>
      </c>
      <c r="B2" t="s">
        <v>15</v>
      </c>
      <c r="C2" t="s">
        <v>212</v>
      </c>
      <c r="D2" t="s">
        <v>213</v>
      </c>
      <c r="E2" t="s">
        <v>214</v>
      </c>
      <c r="F2" t="s">
        <v>74</v>
      </c>
      <c r="G2" t="s">
        <v>215</v>
      </c>
    </row>
    <row r="3" spans="1:7" x14ac:dyDescent="0.2">
      <c r="A3" t="s">
        <v>0</v>
      </c>
      <c r="B3" t="s">
        <v>15</v>
      </c>
      <c r="C3" t="s">
        <v>113</v>
      </c>
      <c r="D3" t="s">
        <v>216</v>
      </c>
      <c r="E3" t="s">
        <v>217</v>
      </c>
      <c r="F3" t="s">
        <v>74</v>
      </c>
      <c r="G3" t="s">
        <v>218</v>
      </c>
    </row>
    <row r="4" spans="1:7" x14ac:dyDescent="0.2">
      <c r="A4" t="s">
        <v>0</v>
      </c>
      <c r="B4" t="s">
        <v>15</v>
      </c>
      <c r="C4" t="s">
        <v>100</v>
      </c>
      <c r="D4" t="s">
        <v>219</v>
      </c>
      <c r="E4" t="s">
        <v>220</v>
      </c>
      <c r="F4" t="s">
        <v>74</v>
      </c>
      <c r="G4" t="s">
        <v>221</v>
      </c>
    </row>
    <row r="5" spans="1:7" x14ac:dyDescent="0.2">
      <c r="A5" t="s">
        <v>0</v>
      </c>
      <c r="B5" t="s">
        <v>15</v>
      </c>
      <c r="C5" t="s">
        <v>138</v>
      </c>
      <c r="D5" t="s">
        <v>222</v>
      </c>
      <c r="E5" t="s">
        <v>223</v>
      </c>
      <c r="F5" t="s">
        <v>71</v>
      </c>
      <c r="G5" t="s">
        <v>224</v>
      </c>
    </row>
    <row r="6" spans="1:7" x14ac:dyDescent="0.2">
      <c r="A6" t="s">
        <v>0</v>
      </c>
      <c r="B6" t="s">
        <v>15</v>
      </c>
      <c r="C6" t="s">
        <v>113</v>
      </c>
      <c r="D6" t="s">
        <v>225</v>
      </c>
      <c r="E6" t="s">
        <v>226</v>
      </c>
      <c r="F6" t="s">
        <v>77</v>
      </c>
      <c r="G6" t="s">
        <v>227</v>
      </c>
    </row>
    <row r="7" spans="1:7" x14ac:dyDescent="0.2">
      <c r="A7" t="s">
        <v>0</v>
      </c>
      <c r="B7" t="s">
        <v>15</v>
      </c>
      <c r="C7" t="s">
        <v>100</v>
      </c>
      <c r="D7" t="s">
        <v>228</v>
      </c>
      <c r="E7" t="s">
        <v>229</v>
      </c>
      <c r="F7" t="s">
        <v>74</v>
      </c>
      <c r="G7" t="s">
        <v>230</v>
      </c>
    </row>
    <row r="8" spans="1:7" x14ac:dyDescent="0.2">
      <c r="A8" t="s">
        <v>0</v>
      </c>
      <c r="B8" t="s">
        <v>15</v>
      </c>
      <c r="C8" t="s">
        <v>212</v>
      </c>
      <c r="D8" t="s">
        <v>231</v>
      </c>
      <c r="E8" t="s">
        <v>232</v>
      </c>
      <c r="F8" t="s">
        <v>74</v>
      </c>
      <c r="G8" t="s">
        <v>233</v>
      </c>
    </row>
    <row r="9" spans="1:7" x14ac:dyDescent="0.2">
      <c r="A9" t="s">
        <v>0</v>
      </c>
      <c r="B9" t="s">
        <v>15</v>
      </c>
      <c r="C9" t="s">
        <v>113</v>
      </c>
      <c r="D9" t="s">
        <v>234</v>
      </c>
      <c r="E9" t="s">
        <v>235</v>
      </c>
      <c r="F9" t="s">
        <v>74</v>
      </c>
      <c r="G9" t="s">
        <v>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74762"/>
  </sheetPr>
  <dimension ref="A1:I176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22" customWidth="1"/>
    <col min="4" max="4" width="13" customWidth="1"/>
    <col min="5" max="5" width="15" customWidth="1"/>
    <col min="6" max="6" width="17" customWidth="1"/>
    <col min="7" max="8" width="12.5" customWidth="1"/>
    <col min="9" max="9" width="14.83203125" customWidth="1"/>
  </cols>
  <sheetData>
    <row r="1" spans="1:9" x14ac:dyDescent="0.2">
      <c r="A1" t="s">
        <v>237</v>
      </c>
      <c r="B1" t="s">
        <v>238</v>
      </c>
      <c r="C1" t="s">
        <v>315</v>
      </c>
      <c r="D1" t="s">
        <v>63</v>
      </c>
      <c r="E1" t="s">
        <v>295</v>
      </c>
      <c r="F1" t="s">
        <v>296</v>
      </c>
      <c r="G1" t="s">
        <v>297</v>
      </c>
      <c r="H1" t="s">
        <v>299</v>
      </c>
      <c r="I1" t="s">
        <v>300</v>
      </c>
    </row>
    <row r="2" spans="1:9" x14ac:dyDescent="0.2">
      <c r="A2" t="s">
        <v>0</v>
      </c>
      <c r="B2" t="s">
        <v>15</v>
      </c>
      <c r="C2" t="s">
        <v>50</v>
      </c>
      <c r="D2" t="s">
        <v>64</v>
      </c>
      <c r="E2">
        <v>92.4</v>
      </c>
      <c r="F2">
        <v>86.6</v>
      </c>
      <c r="G2">
        <f>E2-F2</f>
        <v>5.8000000000000114</v>
      </c>
      <c r="H2" t="str">
        <f>IF(G2&gt;10,"TRUE","FALSE")</f>
        <v>FALSE</v>
      </c>
      <c r="I2" t="str">
        <f>IF(H2&lt;0,"TRUE","FALSE")</f>
        <v>FALSE</v>
      </c>
    </row>
    <row r="3" spans="1:9" x14ac:dyDescent="0.2">
      <c r="A3" t="s">
        <v>0</v>
      </c>
      <c r="B3" t="s">
        <v>15</v>
      </c>
      <c r="C3" t="s">
        <v>51</v>
      </c>
      <c r="D3" t="s">
        <v>64</v>
      </c>
      <c r="E3">
        <v>86.3</v>
      </c>
      <c r="F3">
        <v>84.2</v>
      </c>
      <c r="G3">
        <f t="shared" ref="G3:G66" si="0">E3-F3</f>
        <v>2.0999999999999943</v>
      </c>
      <c r="H3" t="str">
        <f t="shared" ref="H3:H66" si="1">IF(G3&gt;10,"TRUE","FALSE")</f>
        <v>FALSE</v>
      </c>
      <c r="I3" t="str">
        <f t="shared" ref="I3:I66" si="2">IF(H3&lt;0,"TRUE","FALSE")</f>
        <v>FALSE</v>
      </c>
    </row>
    <row r="4" spans="1:9" x14ac:dyDescent="0.2">
      <c r="A4" t="s">
        <v>0</v>
      </c>
      <c r="B4" t="s">
        <v>15</v>
      </c>
      <c r="C4" t="s">
        <v>52</v>
      </c>
      <c r="D4" t="s">
        <v>64</v>
      </c>
      <c r="E4">
        <v>81.7</v>
      </c>
      <c r="F4">
        <v>74.5</v>
      </c>
      <c r="G4">
        <f t="shared" si="0"/>
        <v>7.2000000000000028</v>
      </c>
      <c r="H4" t="str">
        <f t="shared" si="1"/>
        <v>FALSE</v>
      </c>
      <c r="I4" t="str">
        <f t="shared" si="2"/>
        <v>FALSE</v>
      </c>
    </row>
    <row r="5" spans="1:9" x14ac:dyDescent="0.2">
      <c r="A5" t="s">
        <v>0</v>
      </c>
      <c r="B5" t="s">
        <v>15</v>
      </c>
      <c r="C5" t="s">
        <v>53</v>
      </c>
      <c r="D5" t="s">
        <v>64</v>
      </c>
      <c r="E5">
        <v>79.2</v>
      </c>
      <c r="F5">
        <v>50.8</v>
      </c>
      <c r="G5">
        <f t="shared" si="0"/>
        <v>28.400000000000006</v>
      </c>
      <c r="H5" t="str">
        <f t="shared" si="1"/>
        <v>TRUE</v>
      </c>
      <c r="I5" t="str">
        <f t="shared" si="2"/>
        <v>FALSE</v>
      </c>
    </row>
    <row r="6" spans="1:9" x14ac:dyDescent="0.2">
      <c r="A6" t="s">
        <v>0</v>
      </c>
      <c r="B6" t="s">
        <v>15</v>
      </c>
      <c r="C6" t="s">
        <v>54</v>
      </c>
      <c r="D6" t="s">
        <v>64</v>
      </c>
      <c r="E6">
        <v>70.8</v>
      </c>
      <c r="F6">
        <v>66.599999999999994</v>
      </c>
      <c r="G6">
        <f t="shared" si="0"/>
        <v>4.2000000000000028</v>
      </c>
      <c r="H6" t="str">
        <f t="shared" si="1"/>
        <v>FALSE</v>
      </c>
      <c r="I6" t="str">
        <f t="shared" si="2"/>
        <v>FALSE</v>
      </c>
    </row>
    <row r="7" spans="1:9" x14ac:dyDescent="0.2">
      <c r="A7" t="s">
        <v>0</v>
      </c>
      <c r="B7" t="s">
        <v>15</v>
      </c>
      <c r="C7" t="s">
        <v>50</v>
      </c>
      <c r="D7" t="s">
        <v>65</v>
      </c>
      <c r="E7">
        <v>91.2</v>
      </c>
      <c r="F7">
        <v>88</v>
      </c>
      <c r="G7">
        <f t="shared" si="0"/>
        <v>3.2000000000000028</v>
      </c>
      <c r="H7" t="str">
        <f t="shared" si="1"/>
        <v>FALSE</v>
      </c>
      <c r="I7" t="str">
        <f t="shared" si="2"/>
        <v>FALSE</v>
      </c>
    </row>
    <row r="8" spans="1:9" x14ac:dyDescent="0.2">
      <c r="A8" t="s">
        <v>0</v>
      </c>
      <c r="B8" t="s">
        <v>15</v>
      </c>
      <c r="C8" t="s">
        <v>51</v>
      </c>
      <c r="D8" t="s">
        <v>65</v>
      </c>
      <c r="E8">
        <v>85.6</v>
      </c>
      <c r="F8">
        <v>84.1</v>
      </c>
      <c r="G8">
        <f t="shared" si="0"/>
        <v>1.5</v>
      </c>
      <c r="H8" t="str">
        <f t="shared" si="1"/>
        <v>FALSE</v>
      </c>
      <c r="I8" t="str">
        <f t="shared" si="2"/>
        <v>FALSE</v>
      </c>
    </row>
    <row r="9" spans="1:9" x14ac:dyDescent="0.2">
      <c r="A9" t="s">
        <v>0</v>
      </c>
      <c r="B9" t="s">
        <v>15</v>
      </c>
      <c r="C9" t="s">
        <v>52</v>
      </c>
      <c r="D9" t="s">
        <v>65</v>
      </c>
      <c r="E9">
        <v>81.400000000000006</v>
      </c>
      <c r="F9">
        <v>74.099999999999994</v>
      </c>
      <c r="G9">
        <f t="shared" si="0"/>
        <v>7.3000000000000114</v>
      </c>
      <c r="H9" t="str">
        <f t="shared" si="1"/>
        <v>FALSE</v>
      </c>
      <c r="I9" t="str">
        <f t="shared" si="2"/>
        <v>FALSE</v>
      </c>
    </row>
    <row r="10" spans="1:9" x14ac:dyDescent="0.2">
      <c r="A10" t="s">
        <v>0</v>
      </c>
      <c r="B10" t="s">
        <v>15</v>
      </c>
      <c r="C10" t="s">
        <v>53</v>
      </c>
      <c r="D10" t="s">
        <v>65</v>
      </c>
      <c r="E10">
        <v>77.2</v>
      </c>
      <c r="F10">
        <v>52.3</v>
      </c>
      <c r="G10">
        <f t="shared" si="0"/>
        <v>24.900000000000006</v>
      </c>
      <c r="H10" t="str">
        <f t="shared" si="1"/>
        <v>TRUE</v>
      </c>
      <c r="I10" t="str">
        <f t="shared" si="2"/>
        <v>FALSE</v>
      </c>
    </row>
    <row r="11" spans="1:9" x14ac:dyDescent="0.2">
      <c r="A11" t="s">
        <v>0</v>
      </c>
      <c r="B11" t="s">
        <v>15</v>
      </c>
      <c r="C11" t="s">
        <v>54</v>
      </c>
      <c r="D11" t="s">
        <v>65</v>
      </c>
      <c r="E11">
        <v>71.900000000000006</v>
      </c>
      <c r="F11">
        <v>66.5</v>
      </c>
      <c r="G11">
        <f t="shared" si="0"/>
        <v>5.4000000000000057</v>
      </c>
      <c r="H11" t="str">
        <f t="shared" si="1"/>
        <v>FALSE</v>
      </c>
      <c r="I11" t="str">
        <f t="shared" si="2"/>
        <v>FALSE</v>
      </c>
    </row>
    <row r="12" spans="1:9" x14ac:dyDescent="0.2">
      <c r="A12" t="s">
        <v>0</v>
      </c>
      <c r="B12" t="s">
        <v>15</v>
      </c>
      <c r="C12" t="s">
        <v>50</v>
      </c>
      <c r="D12" t="s">
        <v>66</v>
      </c>
      <c r="E12">
        <v>92.9</v>
      </c>
      <c r="F12">
        <v>88.6</v>
      </c>
      <c r="G12">
        <f t="shared" si="0"/>
        <v>4.3000000000000114</v>
      </c>
      <c r="H12" t="str">
        <f t="shared" si="1"/>
        <v>FALSE</v>
      </c>
      <c r="I12" t="str">
        <f t="shared" si="2"/>
        <v>FALSE</v>
      </c>
    </row>
    <row r="13" spans="1:9" x14ac:dyDescent="0.2">
      <c r="A13" t="s">
        <v>0</v>
      </c>
      <c r="B13" t="s">
        <v>15</v>
      </c>
      <c r="C13" t="s">
        <v>51</v>
      </c>
      <c r="D13" t="s">
        <v>66</v>
      </c>
      <c r="E13">
        <v>86.5</v>
      </c>
      <c r="F13">
        <v>84</v>
      </c>
      <c r="G13">
        <f t="shared" si="0"/>
        <v>2.5</v>
      </c>
      <c r="H13" t="str">
        <f t="shared" si="1"/>
        <v>FALSE</v>
      </c>
      <c r="I13" t="str">
        <f t="shared" si="2"/>
        <v>FALSE</v>
      </c>
    </row>
    <row r="14" spans="1:9" x14ac:dyDescent="0.2">
      <c r="A14" t="s">
        <v>0</v>
      </c>
      <c r="B14" t="s">
        <v>15</v>
      </c>
      <c r="C14" t="s">
        <v>52</v>
      </c>
      <c r="D14" t="s">
        <v>66</v>
      </c>
      <c r="E14">
        <v>82.4</v>
      </c>
      <c r="F14">
        <v>73.5</v>
      </c>
      <c r="G14">
        <f t="shared" si="0"/>
        <v>8.9000000000000057</v>
      </c>
      <c r="H14" t="str">
        <f t="shared" si="1"/>
        <v>FALSE</v>
      </c>
      <c r="I14" t="str">
        <f t="shared" si="2"/>
        <v>FALSE</v>
      </c>
    </row>
    <row r="15" spans="1:9" x14ac:dyDescent="0.2">
      <c r="A15" t="s">
        <v>0</v>
      </c>
      <c r="B15" t="s">
        <v>15</v>
      </c>
      <c r="C15" t="s">
        <v>53</v>
      </c>
      <c r="D15" t="s">
        <v>66</v>
      </c>
      <c r="E15">
        <v>76.8</v>
      </c>
      <c r="F15">
        <v>50.8</v>
      </c>
      <c r="G15">
        <f t="shared" si="0"/>
        <v>26</v>
      </c>
      <c r="H15" t="str">
        <f t="shared" si="1"/>
        <v>TRUE</v>
      </c>
      <c r="I15" t="str">
        <f t="shared" si="2"/>
        <v>FALSE</v>
      </c>
    </row>
    <row r="16" spans="1:9" x14ac:dyDescent="0.2">
      <c r="A16" t="s">
        <v>0</v>
      </c>
      <c r="B16" t="s">
        <v>15</v>
      </c>
      <c r="C16" t="s">
        <v>54</v>
      </c>
      <c r="D16" t="s">
        <v>66</v>
      </c>
      <c r="E16">
        <v>72</v>
      </c>
      <c r="F16">
        <v>68.3</v>
      </c>
      <c r="G16">
        <f t="shared" si="0"/>
        <v>3.7000000000000028</v>
      </c>
      <c r="H16" t="str">
        <f t="shared" si="1"/>
        <v>FALSE</v>
      </c>
      <c r="I16" t="str">
        <f t="shared" si="2"/>
        <v>FALSE</v>
      </c>
    </row>
    <row r="17" spans="1:9" x14ac:dyDescent="0.2">
      <c r="A17" t="s">
        <v>0</v>
      </c>
      <c r="B17" t="s">
        <v>15</v>
      </c>
      <c r="C17" t="s">
        <v>50</v>
      </c>
      <c r="D17" t="s">
        <v>67</v>
      </c>
      <c r="E17">
        <v>92.9</v>
      </c>
      <c r="F17">
        <v>88.7</v>
      </c>
      <c r="G17">
        <f t="shared" si="0"/>
        <v>4.2000000000000028</v>
      </c>
      <c r="H17" t="str">
        <f t="shared" si="1"/>
        <v>FALSE</v>
      </c>
      <c r="I17" t="str">
        <f t="shared" si="2"/>
        <v>FALSE</v>
      </c>
    </row>
    <row r="18" spans="1:9" x14ac:dyDescent="0.2">
      <c r="A18" t="s">
        <v>0</v>
      </c>
      <c r="B18" t="s">
        <v>15</v>
      </c>
      <c r="C18" t="s">
        <v>51</v>
      </c>
      <c r="D18" t="s">
        <v>67</v>
      </c>
      <c r="E18">
        <v>87.1</v>
      </c>
      <c r="F18">
        <v>86.4</v>
      </c>
      <c r="G18">
        <f t="shared" si="0"/>
        <v>0.69999999999998863</v>
      </c>
      <c r="H18" t="str">
        <f t="shared" si="1"/>
        <v>FALSE</v>
      </c>
      <c r="I18" t="str">
        <f t="shared" si="2"/>
        <v>FALSE</v>
      </c>
    </row>
    <row r="19" spans="1:9" x14ac:dyDescent="0.2">
      <c r="A19" t="s">
        <v>0</v>
      </c>
      <c r="B19" t="s">
        <v>15</v>
      </c>
      <c r="C19" t="s">
        <v>52</v>
      </c>
      <c r="D19" t="s">
        <v>67</v>
      </c>
      <c r="E19">
        <v>80.599999999999994</v>
      </c>
      <c r="F19">
        <v>74.2</v>
      </c>
      <c r="G19">
        <f t="shared" si="0"/>
        <v>6.3999999999999915</v>
      </c>
      <c r="H19" t="str">
        <f t="shared" si="1"/>
        <v>FALSE</v>
      </c>
      <c r="I19" t="str">
        <f t="shared" si="2"/>
        <v>FALSE</v>
      </c>
    </row>
    <row r="20" spans="1:9" x14ac:dyDescent="0.2">
      <c r="A20" t="s">
        <v>0</v>
      </c>
      <c r="B20" t="s">
        <v>15</v>
      </c>
      <c r="C20" t="s">
        <v>53</v>
      </c>
      <c r="D20" t="s">
        <v>67</v>
      </c>
      <c r="E20">
        <v>79</v>
      </c>
      <c r="F20">
        <v>52.4</v>
      </c>
      <c r="G20">
        <f t="shared" si="0"/>
        <v>26.6</v>
      </c>
      <c r="H20" t="str">
        <f t="shared" si="1"/>
        <v>TRUE</v>
      </c>
      <c r="I20" t="str">
        <f t="shared" si="2"/>
        <v>FALSE</v>
      </c>
    </row>
    <row r="21" spans="1:9" x14ac:dyDescent="0.2">
      <c r="A21" t="s">
        <v>0</v>
      </c>
      <c r="B21" t="s">
        <v>15</v>
      </c>
      <c r="C21" t="s">
        <v>54</v>
      </c>
      <c r="D21" t="s">
        <v>67</v>
      </c>
      <c r="E21">
        <v>72.099999999999994</v>
      </c>
      <c r="F21">
        <v>68.2</v>
      </c>
      <c r="G21">
        <f t="shared" si="0"/>
        <v>3.8999999999999915</v>
      </c>
      <c r="H21" t="str">
        <f t="shared" si="1"/>
        <v>FALSE</v>
      </c>
      <c r="I21" t="str">
        <f t="shared" si="2"/>
        <v>FALSE</v>
      </c>
    </row>
    <row r="22" spans="1:9" x14ac:dyDescent="0.2">
      <c r="A22" t="s">
        <v>0</v>
      </c>
      <c r="B22" t="s">
        <v>15</v>
      </c>
      <c r="C22" t="s">
        <v>50</v>
      </c>
      <c r="D22" t="s">
        <v>68</v>
      </c>
      <c r="E22">
        <v>92.6</v>
      </c>
      <c r="F22">
        <v>86.6</v>
      </c>
      <c r="G22">
        <f t="shared" si="0"/>
        <v>6</v>
      </c>
      <c r="H22" t="str">
        <f t="shared" si="1"/>
        <v>FALSE</v>
      </c>
      <c r="I22" t="str">
        <f t="shared" si="2"/>
        <v>FALSE</v>
      </c>
    </row>
    <row r="23" spans="1:9" x14ac:dyDescent="0.2">
      <c r="A23" t="s">
        <v>0</v>
      </c>
      <c r="B23" t="s">
        <v>15</v>
      </c>
      <c r="C23" t="s">
        <v>51</v>
      </c>
      <c r="D23" t="s">
        <v>68</v>
      </c>
      <c r="E23">
        <v>86.2</v>
      </c>
      <c r="F23">
        <v>84.4</v>
      </c>
      <c r="G23">
        <f t="shared" si="0"/>
        <v>1.7999999999999972</v>
      </c>
      <c r="H23" t="str">
        <f t="shared" si="1"/>
        <v>FALSE</v>
      </c>
      <c r="I23" t="str">
        <f t="shared" si="2"/>
        <v>FALSE</v>
      </c>
    </row>
    <row r="24" spans="1:9" x14ac:dyDescent="0.2">
      <c r="A24" t="s">
        <v>0</v>
      </c>
      <c r="B24" t="s">
        <v>15</v>
      </c>
      <c r="C24" t="s">
        <v>52</v>
      </c>
      <c r="D24" t="s">
        <v>68</v>
      </c>
      <c r="E24">
        <v>79.7</v>
      </c>
      <c r="F24">
        <v>73.2</v>
      </c>
      <c r="G24">
        <f t="shared" si="0"/>
        <v>6.5</v>
      </c>
      <c r="H24" t="str">
        <f t="shared" si="1"/>
        <v>FALSE</v>
      </c>
      <c r="I24" t="str">
        <f t="shared" si="2"/>
        <v>FALSE</v>
      </c>
    </row>
    <row r="25" spans="1:9" x14ac:dyDescent="0.2">
      <c r="A25" t="s">
        <v>0</v>
      </c>
      <c r="B25" t="s">
        <v>15</v>
      </c>
      <c r="C25" t="s">
        <v>53</v>
      </c>
      <c r="D25" t="s">
        <v>68</v>
      </c>
      <c r="E25">
        <v>76.8</v>
      </c>
      <c r="F25">
        <v>51.3</v>
      </c>
      <c r="G25">
        <f t="shared" si="0"/>
        <v>25.5</v>
      </c>
      <c r="H25" t="str">
        <f t="shared" si="1"/>
        <v>TRUE</v>
      </c>
      <c r="I25" t="str">
        <f t="shared" si="2"/>
        <v>FALSE</v>
      </c>
    </row>
    <row r="26" spans="1:9" x14ac:dyDescent="0.2">
      <c r="A26" t="s">
        <v>0</v>
      </c>
      <c r="B26" t="s">
        <v>15</v>
      </c>
      <c r="C26" t="s">
        <v>54</v>
      </c>
      <c r="D26" t="s">
        <v>68</v>
      </c>
      <c r="E26">
        <v>71.400000000000006</v>
      </c>
      <c r="F26">
        <v>67.599999999999994</v>
      </c>
      <c r="G26">
        <f t="shared" si="0"/>
        <v>3.8000000000000114</v>
      </c>
      <c r="H26" t="str">
        <f t="shared" si="1"/>
        <v>FALSE</v>
      </c>
      <c r="I26" t="str">
        <f t="shared" si="2"/>
        <v>FALSE</v>
      </c>
    </row>
    <row r="27" spans="1:9" x14ac:dyDescent="0.2">
      <c r="A27" t="s">
        <v>0</v>
      </c>
      <c r="B27" t="s">
        <v>15</v>
      </c>
      <c r="C27" t="s">
        <v>50</v>
      </c>
      <c r="D27" t="s">
        <v>69</v>
      </c>
      <c r="E27">
        <v>91.6</v>
      </c>
      <c r="F27">
        <v>87.1</v>
      </c>
      <c r="G27">
        <f t="shared" si="0"/>
        <v>4.5</v>
      </c>
      <c r="H27" t="str">
        <f t="shared" si="1"/>
        <v>FALSE</v>
      </c>
      <c r="I27" t="str">
        <f t="shared" si="2"/>
        <v>FALSE</v>
      </c>
    </row>
    <row r="28" spans="1:9" x14ac:dyDescent="0.2">
      <c r="A28" t="s">
        <v>0</v>
      </c>
      <c r="B28" t="s">
        <v>15</v>
      </c>
      <c r="C28" t="s">
        <v>51</v>
      </c>
      <c r="D28" t="s">
        <v>69</v>
      </c>
      <c r="E28">
        <v>86.3</v>
      </c>
      <c r="F28">
        <v>86.3</v>
      </c>
      <c r="G28">
        <f t="shared" si="0"/>
        <v>0</v>
      </c>
      <c r="H28" t="str">
        <f t="shared" si="1"/>
        <v>FALSE</v>
      </c>
      <c r="I28" t="str">
        <f t="shared" si="2"/>
        <v>FALSE</v>
      </c>
    </row>
    <row r="29" spans="1:9" x14ac:dyDescent="0.2">
      <c r="A29" t="s">
        <v>0</v>
      </c>
      <c r="B29" t="s">
        <v>15</v>
      </c>
      <c r="C29" t="s">
        <v>52</v>
      </c>
      <c r="D29" t="s">
        <v>69</v>
      </c>
      <c r="E29">
        <v>81.400000000000006</v>
      </c>
      <c r="F29">
        <v>74.3</v>
      </c>
      <c r="G29">
        <f t="shared" si="0"/>
        <v>7.1000000000000085</v>
      </c>
      <c r="H29" t="str">
        <f t="shared" si="1"/>
        <v>FALSE</v>
      </c>
      <c r="I29" t="str">
        <f t="shared" si="2"/>
        <v>FALSE</v>
      </c>
    </row>
    <row r="30" spans="1:9" x14ac:dyDescent="0.2">
      <c r="A30" t="s">
        <v>0</v>
      </c>
      <c r="B30" t="s">
        <v>15</v>
      </c>
      <c r="C30" t="s">
        <v>53</v>
      </c>
      <c r="D30" t="s">
        <v>69</v>
      </c>
      <c r="E30">
        <v>77</v>
      </c>
      <c r="F30">
        <v>52.7</v>
      </c>
      <c r="G30">
        <f t="shared" si="0"/>
        <v>24.299999999999997</v>
      </c>
      <c r="H30" t="str">
        <f t="shared" si="1"/>
        <v>TRUE</v>
      </c>
      <c r="I30" t="str">
        <f t="shared" si="2"/>
        <v>FALSE</v>
      </c>
    </row>
    <row r="31" spans="1:9" x14ac:dyDescent="0.2">
      <c r="A31" t="s">
        <v>0</v>
      </c>
      <c r="B31" t="s">
        <v>15</v>
      </c>
      <c r="C31" t="s">
        <v>54</v>
      </c>
      <c r="D31" t="s">
        <v>69</v>
      </c>
      <c r="E31">
        <v>70</v>
      </c>
      <c r="F31">
        <v>67.599999999999994</v>
      </c>
      <c r="G31">
        <f t="shared" si="0"/>
        <v>2.4000000000000057</v>
      </c>
      <c r="H31" t="str">
        <f t="shared" si="1"/>
        <v>FALSE</v>
      </c>
      <c r="I31" t="str">
        <f t="shared" si="2"/>
        <v>FALSE</v>
      </c>
    </row>
    <row r="32" spans="1:9" x14ac:dyDescent="0.2">
      <c r="A32" t="s">
        <v>0</v>
      </c>
      <c r="B32" t="s">
        <v>15</v>
      </c>
      <c r="C32" t="s">
        <v>50</v>
      </c>
      <c r="D32" t="s">
        <v>70</v>
      </c>
      <c r="E32">
        <v>93.5</v>
      </c>
      <c r="F32">
        <v>88.4</v>
      </c>
      <c r="G32">
        <f t="shared" si="0"/>
        <v>5.0999999999999943</v>
      </c>
      <c r="H32" t="str">
        <f t="shared" si="1"/>
        <v>FALSE</v>
      </c>
      <c r="I32" t="str">
        <f t="shared" si="2"/>
        <v>FALSE</v>
      </c>
    </row>
    <row r="33" spans="1:9" x14ac:dyDescent="0.2">
      <c r="A33" t="s">
        <v>0</v>
      </c>
      <c r="B33" t="s">
        <v>15</v>
      </c>
      <c r="C33" t="s">
        <v>51</v>
      </c>
      <c r="D33" t="s">
        <v>70</v>
      </c>
      <c r="E33">
        <v>87.2</v>
      </c>
      <c r="F33">
        <v>85.6</v>
      </c>
      <c r="G33">
        <f t="shared" si="0"/>
        <v>1.6000000000000085</v>
      </c>
      <c r="H33" t="str">
        <f t="shared" si="1"/>
        <v>FALSE</v>
      </c>
      <c r="I33" t="str">
        <f t="shared" si="2"/>
        <v>FALSE</v>
      </c>
    </row>
    <row r="34" spans="1:9" x14ac:dyDescent="0.2">
      <c r="A34" t="s">
        <v>0</v>
      </c>
      <c r="B34" t="s">
        <v>15</v>
      </c>
      <c r="C34" t="s">
        <v>52</v>
      </c>
      <c r="D34" t="s">
        <v>70</v>
      </c>
      <c r="E34">
        <v>82</v>
      </c>
      <c r="F34">
        <v>74.8</v>
      </c>
      <c r="G34">
        <f t="shared" si="0"/>
        <v>7.2000000000000028</v>
      </c>
      <c r="H34" t="str">
        <f t="shared" si="1"/>
        <v>FALSE</v>
      </c>
      <c r="I34" t="str">
        <f t="shared" si="2"/>
        <v>FALSE</v>
      </c>
    </row>
    <row r="35" spans="1:9" x14ac:dyDescent="0.2">
      <c r="A35" t="s">
        <v>0</v>
      </c>
      <c r="B35" t="s">
        <v>15</v>
      </c>
      <c r="C35" t="s">
        <v>53</v>
      </c>
      <c r="D35" t="s">
        <v>70</v>
      </c>
      <c r="E35">
        <v>77.2</v>
      </c>
      <c r="F35">
        <v>50.6</v>
      </c>
      <c r="G35">
        <f t="shared" si="0"/>
        <v>26.6</v>
      </c>
      <c r="H35" t="str">
        <f t="shared" si="1"/>
        <v>TRUE</v>
      </c>
      <c r="I35" t="str">
        <f t="shared" si="2"/>
        <v>FALSE</v>
      </c>
    </row>
    <row r="36" spans="1:9" x14ac:dyDescent="0.2">
      <c r="A36" t="s">
        <v>0</v>
      </c>
      <c r="B36" t="s">
        <v>15</v>
      </c>
      <c r="C36" t="s">
        <v>54</v>
      </c>
      <c r="D36" t="s">
        <v>70</v>
      </c>
      <c r="E36">
        <v>70.400000000000006</v>
      </c>
      <c r="F36">
        <v>67.3</v>
      </c>
      <c r="G36">
        <f t="shared" si="0"/>
        <v>3.1000000000000085</v>
      </c>
      <c r="H36" t="str">
        <f t="shared" si="1"/>
        <v>FALSE</v>
      </c>
      <c r="I36" t="str">
        <f t="shared" si="2"/>
        <v>FALSE</v>
      </c>
    </row>
    <row r="37" spans="1:9" x14ac:dyDescent="0.2">
      <c r="A37" t="s">
        <v>1</v>
      </c>
      <c r="B37" t="s">
        <v>15</v>
      </c>
      <c r="C37" t="s">
        <v>50</v>
      </c>
      <c r="D37" t="s">
        <v>64</v>
      </c>
      <c r="E37">
        <v>84.1</v>
      </c>
      <c r="F37">
        <v>81.3</v>
      </c>
      <c r="G37">
        <f t="shared" si="0"/>
        <v>2.7999999999999972</v>
      </c>
      <c r="H37" t="str">
        <f t="shared" si="1"/>
        <v>FALSE</v>
      </c>
      <c r="I37" t="str">
        <f t="shared" si="2"/>
        <v>FALSE</v>
      </c>
    </row>
    <row r="38" spans="1:9" x14ac:dyDescent="0.2">
      <c r="A38" t="s">
        <v>1</v>
      </c>
      <c r="B38" t="s">
        <v>15</v>
      </c>
      <c r="C38" t="s">
        <v>51</v>
      </c>
      <c r="D38" t="s">
        <v>64</v>
      </c>
      <c r="E38">
        <v>79.099999999999994</v>
      </c>
      <c r="F38">
        <v>74.400000000000006</v>
      </c>
      <c r="G38">
        <f t="shared" si="0"/>
        <v>4.6999999999999886</v>
      </c>
      <c r="H38" t="str">
        <f t="shared" si="1"/>
        <v>FALSE</v>
      </c>
      <c r="I38" t="str">
        <f t="shared" si="2"/>
        <v>FALSE</v>
      </c>
    </row>
    <row r="39" spans="1:9" x14ac:dyDescent="0.2">
      <c r="A39" t="s">
        <v>1</v>
      </c>
      <c r="B39" t="s">
        <v>15</v>
      </c>
      <c r="C39" t="s">
        <v>52</v>
      </c>
      <c r="D39" t="s">
        <v>64</v>
      </c>
      <c r="E39">
        <v>75.5</v>
      </c>
      <c r="F39">
        <v>67.7</v>
      </c>
      <c r="G39">
        <f t="shared" si="0"/>
        <v>7.7999999999999972</v>
      </c>
      <c r="H39" t="str">
        <f t="shared" si="1"/>
        <v>FALSE</v>
      </c>
      <c r="I39" t="str">
        <f t="shared" si="2"/>
        <v>FALSE</v>
      </c>
    </row>
    <row r="40" spans="1:9" x14ac:dyDescent="0.2">
      <c r="A40" t="s">
        <v>1</v>
      </c>
      <c r="B40" t="s">
        <v>15</v>
      </c>
      <c r="C40" t="s">
        <v>53</v>
      </c>
      <c r="D40" t="s">
        <v>64</v>
      </c>
      <c r="E40">
        <v>83.2</v>
      </c>
      <c r="F40">
        <v>73.900000000000006</v>
      </c>
      <c r="G40">
        <f t="shared" si="0"/>
        <v>9.2999999999999972</v>
      </c>
      <c r="H40" t="str">
        <f t="shared" si="1"/>
        <v>FALSE</v>
      </c>
      <c r="I40" t="str">
        <f t="shared" si="2"/>
        <v>FALSE</v>
      </c>
    </row>
    <row r="41" spans="1:9" x14ac:dyDescent="0.2">
      <c r="A41" t="s">
        <v>1</v>
      </c>
      <c r="B41" t="s">
        <v>15</v>
      </c>
      <c r="C41" t="s">
        <v>54</v>
      </c>
      <c r="D41" t="s">
        <v>64</v>
      </c>
      <c r="E41">
        <v>67.3</v>
      </c>
      <c r="F41">
        <v>63.2</v>
      </c>
      <c r="G41">
        <f t="shared" si="0"/>
        <v>4.0999999999999943</v>
      </c>
      <c r="H41" t="str">
        <f t="shared" si="1"/>
        <v>FALSE</v>
      </c>
      <c r="I41" t="str">
        <f t="shared" si="2"/>
        <v>FALSE</v>
      </c>
    </row>
    <row r="42" spans="1:9" x14ac:dyDescent="0.2">
      <c r="A42" t="s">
        <v>1</v>
      </c>
      <c r="B42" t="s">
        <v>15</v>
      </c>
      <c r="C42" t="s">
        <v>50</v>
      </c>
      <c r="D42" t="s">
        <v>65</v>
      </c>
      <c r="E42">
        <v>85.2</v>
      </c>
      <c r="F42">
        <v>79.3</v>
      </c>
      <c r="G42">
        <f t="shared" si="0"/>
        <v>5.9000000000000057</v>
      </c>
      <c r="H42" t="str">
        <f t="shared" si="1"/>
        <v>FALSE</v>
      </c>
      <c r="I42" t="str">
        <f t="shared" si="2"/>
        <v>FALSE</v>
      </c>
    </row>
    <row r="43" spans="1:9" x14ac:dyDescent="0.2">
      <c r="A43" t="s">
        <v>1</v>
      </c>
      <c r="B43" t="s">
        <v>15</v>
      </c>
      <c r="C43" t="s">
        <v>51</v>
      </c>
      <c r="D43" t="s">
        <v>65</v>
      </c>
      <c r="E43">
        <v>78.3</v>
      </c>
      <c r="F43">
        <v>76.2</v>
      </c>
      <c r="G43">
        <f t="shared" si="0"/>
        <v>2.0999999999999943</v>
      </c>
      <c r="H43" t="str">
        <f t="shared" si="1"/>
        <v>FALSE</v>
      </c>
      <c r="I43" t="str">
        <f t="shared" si="2"/>
        <v>FALSE</v>
      </c>
    </row>
    <row r="44" spans="1:9" x14ac:dyDescent="0.2">
      <c r="A44" t="s">
        <v>1</v>
      </c>
      <c r="B44" t="s">
        <v>15</v>
      </c>
      <c r="C44" t="s">
        <v>52</v>
      </c>
      <c r="D44" t="s">
        <v>65</v>
      </c>
      <c r="E44">
        <v>74.7</v>
      </c>
      <c r="F44">
        <v>67.2</v>
      </c>
      <c r="G44">
        <f t="shared" si="0"/>
        <v>7.5</v>
      </c>
      <c r="H44" t="str">
        <f t="shared" si="1"/>
        <v>FALSE</v>
      </c>
      <c r="I44" t="str">
        <f t="shared" si="2"/>
        <v>FALSE</v>
      </c>
    </row>
    <row r="45" spans="1:9" x14ac:dyDescent="0.2">
      <c r="A45" t="s">
        <v>1</v>
      </c>
      <c r="B45" t="s">
        <v>15</v>
      </c>
      <c r="C45" t="s">
        <v>53</v>
      </c>
      <c r="D45" t="s">
        <v>65</v>
      </c>
      <c r="E45">
        <v>83.5</v>
      </c>
      <c r="F45">
        <v>74</v>
      </c>
      <c r="G45">
        <f t="shared" si="0"/>
        <v>9.5</v>
      </c>
      <c r="H45" t="str">
        <f t="shared" si="1"/>
        <v>FALSE</v>
      </c>
      <c r="I45" t="str">
        <f t="shared" si="2"/>
        <v>FALSE</v>
      </c>
    </row>
    <row r="46" spans="1:9" x14ac:dyDescent="0.2">
      <c r="A46" t="s">
        <v>1</v>
      </c>
      <c r="B46" t="s">
        <v>15</v>
      </c>
      <c r="C46" t="s">
        <v>54</v>
      </c>
      <c r="D46" t="s">
        <v>65</v>
      </c>
      <c r="E46">
        <v>66.8</v>
      </c>
      <c r="F46">
        <v>62.6</v>
      </c>
      <c r="G46">
        <f t="shared" si="0"/>
        <v>4.1999999999999957</v>
      </c>
      <c r="H46" t="str">
        <f t="shared" si="1"/>
        <v>FALSE</v>
      </c>
      <c r="I46" t="str">
        <f t="shared" si="2"/>
        <v>FALSE</v>
      </c>
    </row>
    <row r="47" spans="1:9" x14ac:dyDescent="0.2">
      <c r="A47" t="s">
        <v>1</v>
      </c>
      <c r="B47" t="s">
        <v>15</v>
      </c>
      <c r="C47" t="s">
        <v>50</v>
      </c>
      <c r="D47" t="s">
        <v>66</v>
      </c>
      <c r="E47">
        <v>83.8</v>
      </c>
      <c r="F47">
        <v>80.400000000000006</v>
      </c>
      <c r="G47">
        <f t="shared" si="0"/>
        <v>3.3999999999999915</v>
      </c>
      <c r="H47" t="str">
        <f t="shared" si="1"/>
        <v>FALSE</v>
      </c>
      <c r="I47" t="str">
        <f t="shared" si="2"/>
        <v>FALSE</v>
      </c>
    </row>
    <row r="48" spans="1:9" x14ac:dyDescent="0.2">
      <c r="A48" t="s">
        <v>1</v>
      </c>
      <c r="B48" t="s">
        <v>15</v>
      </c>
      <c r="C48" t="s">
        <v>51</v>
      </c>
      <c r="D48" t="s">
        <v>66</v>
      </c>
      <c r="E48">
        <v>78.900000000000006</v>
      </c>
      <c r="F48">
        <v>74.8</v>
      </c>
      <c r="G48">
        <f t="shared" si="0"/>
        <v>4.1000000000000085</v>
      </c>
      <c r="H48" t="str">
        <f t="shared" si="1"/>
        <v>FALSE</v>
      </c>
      <c r="I48" t="str">
        <f t="shared" si="2"/>
        <v>FALSE</v>
      </c>
    </row>
    <row r="49" spans="1:9" x14ac:dyDescent="0.2">
      <c r="A49" t="s">
        <v>1</v>
      </c>
      <c r="B49" t="s">
        <v>15</v>
      </c>
      <c r="C49" t="s">
        <v>52</v>
      </c>
      <c r="D49" t="s">
        <v>66</v>
      </c>
      <c r="E49">
        <v>73.7</v>
      </c>
      <c r="F49">
        <v>67.599999999999994</v>
      </c>
      <c r="G49">
        <f t="shared" si="0"/>
        <v>6.1000000000000085</v>
      </c>
      <c r="H49" t="str">
        <f t="shared" si="1"/>
        <v>FALSE</v>
      </c>
      <c r="I49" t="str">
        <f t="shared" si="2"/>
        <v>FALSE</v>
      </c>
    </row>
    <row r="50" spans="1:9" x14ac:dyDescent="0.2">
      <c r="A50" t="s">
        <v>1</v>
      </c>
      <c r="B50" t="s">
        <v>15</v>
      </c>
      <c r="C50" t="s">
        <v>53</v>
      </c>
      <c r="D50" t="s">
        <v>66</v>
      </c>
      <c r="E50">
        <v>83.5</v>
      </c>
      <c r="F50">
        <v>74.099999999999994</v>
      </c>
      <c r="G50">
        <f t="shared" si="0"/>
        <v>9.4000000000000057</v>
      </c>
      <c r="H50" t="str">
        <f t="shared" si="1"/>
        <v>FALSE</v>
      </c>
      <c r="I50" t="str">
        <f t="shared" si="2"/>
        <v>FALSE</v>
      </c>
    </row>
    <row r="51" spans="1:9" x14ac:dyDescent="0.2">
      <c r="A51" t="s">
        <v>1</v>
      </c>
      <c r="B51" t="s">
        <v>15</v>
      </c>
      <c r="C51" t="s">
        <v>54</v>
      </c>
      <c r="D51" t="s">
        <v>66</v>
      </c>
      <c r="E51">
        <v>69.400000000000006</v>
      </c>
      <c r="F51">
        <v>65.099999999999994</v>
      </c>
      <c r="G51">
        <f t="shared" si="0"/>
        <v>4.3000000000000114</v>
      </c>
      <c r="H51" t="str">
        <f t="shared" si="1"/>
        <v>FALSE</v>
      </c>
      <c r="I51" t="str">
        <f t="shared" si="2"/>
        <v>FALSE</v>
      </c>
    </row>
    <row r="52" spans="1:9" x14ac:dyDescent="0.2">
      <c r="A52" t="s">
        <v>1</v>
      </c>
      <c r="B52" t="s">
        <v>15</v>
      </c>
      <c r="C52" t="s">
        <v>50</v>
      </c>
      <c r="D52" t="s">
        <v>67</v>
      </c>
      <c r="E52">
        <v>83.5</v>
      </c>
      <c r="F52">
        <v>80.7</v>
      </c>
      <c r="G52">
        <f t="shared" si="0"/>
        <v>2.7999999999999972</v>
      </c>
      <c r="H52" t="str">
        <f t="shared" si="1"/>
        <v>FALSE</v>
      </c>
      <c r="I52" t="str">
        <f t="shared" si="2"/>
        <v>FALSE</v>
      </c>
    </row>
    <row r="53" spans="1:9" x14ac:dyDescent="0.2">
      <c r="A53" t="s">
        <v>1</v>
      </c>
      <c r="B53" t="s">
        <v>15</v>
      </c>
      <c r="C53" t="s">
        <v>51</v>
      </c>
      <c r="D53" t="s">
        <v>67</v>
      </c>
      <c r="E53">
        <v>78.5</v>
      </c>
      <c r="F53">
        <v>75.099999999999994</v>
      </c>
      <c r="G53">
        <f t="shared" si="0"/>
        <v>3.4000000000000057</v>
      </c>
      <c r="H53" t="str">
        <f t="shared" si="1"/>
        <v>FALSE</v>
      </c>
      <c r="I53" t="str">
        <f t="shared" si="2"/>
        <v>FALSE</v>
      </c>
    </row>
    <row r="54" spans="1:9" x14ac:dyDescent="0.2">
      <c r="A54" t="s">
        <v>1</v>
      </c>
      <c r="B54" t="s">
        <v>15</v>
      </c>
      <c r="C54" t="s">
        <v>52</v>
      </c>
      <c r="D54" t="s">
        <v>67</v>
      </c>
      <c r="E54">
        <v>74.3</v>
      </c>
      <c r="F54">
        <v>68.400000000000006</v>
      </c>
      <c r="G54">
        <f t="shared" si="0"/>
        <v>5.8999999999999915</v>
      </c>
      <c r="H54" t="str">
        <f t="shared" si="1"/>
        <v>FALSE</v>
      </c>
      <c r="I54" t="str">
        <f t="shared" si="2"/>
        <v>FALSE</v>
      </c>
    </row>
    <row r="55" spans="1:9" x14ac:dyDescent="0.2">
      <c r="A55" t="s">
        <v>1</v>
      </c>
      <c r="B55" t="s">
        <v>15</v>
      </c>
      <c r="C55" t="s">
        <v>53</v>
      </c>
      <c r="D55" t="s">
        <v>67</v>
      </c>
      <c r="E55">
        <v>80.8</v>
      </c>
      <c r="F55">
        <v>73.8</v>
      </c>
      <c r="G55">
        <f t="shared" si="0"/>
        <v>7</v>
      </c>
      <c r="H55" t="str">
        <f t="shared" si="1"/>
        <v>FALSE</v>
      </c>
      <c r="I55" t="str">
        <f t="shared" si="2"/>
        <v>FALSE</v>
      </c>
    </row>
    <row r="56" spans="1:9" x14ac:dyDescent="0.2">
      <c r="A56" t="s">
        <v>1</v>
      </c>
      <c r="B56" t="s">
        <v>15</v>
      </c>
      <c r="C56" t="s">
        <v>54</v>
      </c>
      <c r="D56" t="s">
        <v>67</v>
      </c>
      <c r="E56">
        <v>67.900000000000006</v>
      </c>
      <c r="F56">
        <v>65.400000000000006</v>
      </c>
      <c r="G56">
        <f t="shared" si="0"/>
        <v>2.5</v>
      </c>
      <c r="H56" t="str">
        <f t="shared" si="1"/>
        <v>FALSE</v>
      </c>
      <c r="I56" t="str">
        <f t="shared" si="2"/>
        <v>FALSE</v>
      </c>
    </row>
    <row r="57" spans="1:9" x14ac:dyDescent="0.2">
      <c r="A57" t="s">
        <v>1</v>
      </c>
      <c r="B57" t="s">
        <v>15</v>
      </c>
      <c r="C57" t="s">
        <v>50</v>
      </c>
      <c r="D57" t="s">
        <v>68</v>
      </c>
      <c r="E57">
        <v>86.1</v>
      </c>
      <c r="F57">
        <v>79.3</v>
      </c>
      <c r="G57">
        <f t="shared" si="0"/>
        <v>6.7999999999999972</v>
      </c>
      <c r="H57" t="str">
        <f t="shared" si="1"/>
        <v>FALSE</v>
      </c>
      <c r="I57" t="str">
        <f t="shared" si="2"/>
        <v>FALSE</v>
      </c>
    </row>
    <row r="58" spans="1:9" x14ac:dyDescent="0.2">
      <c r="A58" t="s">
        <v>1</v>
      </c>
      <c r="B58" t="s">
        <v>15</v>
      </c>
      <c r="C58" t="s">
        <v>51</v>
      </c>
      <c r="D58" t="s">
        <v>68</v>
      </c>
      <c r="E58">
        <v>78</v>
      </c>
      <c r="F58">
        <v>74</v>
      </c>
      <c r="G58">
        <f t="shared" si="0"/>
        <v>4</v>
      </c>
      <c r="H58" t="str">
        <f t="shared" si="1"/>
        <v>FALSE</v>
      </c>
      <c r="I58" t="str">
        <f t="shared" si="2"/>
        <v>FALSE</v>
      </c>
    </row>
    <row r="59" spans="1:9" x14ac:dyDescent="0.2">
      <c r="A59" t="s">
        <v>1</v>
      </c>
      <c r="B59" t="s">
        <v>15</v>
      </c>
      <c r="C59" t="s">
        <v>52</v>
      </c>
      <c r="D59" t="s">
        <v>68</v>
      </c>
      <c r="E59">
        <v>76.2</v>
      </c>
      <c r="F59">
        <v>69.099999999999994</v>
      </c>
      <c r="G59">
        <f t="shared" si="0"/>
        <v>7.1000000000000085</v>
      </c>
      <c r="H59" t="str">
        <f t="shared" si="1"/>
        <v>FALSE</v>
      </c>
      <c r="I59" t="str">
        <f t="shared" si="2"/>
        <v>FALSE</v>
      </c>
    </row>
    <row r="60" spans="1:9" x14ac:dyDescent="0.2">
      <c r="A60" t="s">
        <v>1</v>
      </c>
      <c r="B60" t="s">
        <v>15</v>
      </c>
      <c r="C60" t="s">
        <v>53</v>
      </c>
      <c r="D60" t="s">
        <v>68</v>
      </c>
      <c r="E60">
        <v>81.400000000000006</v>
      </c>
      <c r="F60">
        <v>74.400000000000006</v>
      </c>
      <c r="G60">
        <f t="shared" si="0"/>
        <v>7</v>
      </c>
      <c r="H60" t="str">
        <f t="shared" si="1"/>
        <v>FALSE</v>
      </c>
      <c r="I60" t="str">
        <f t="shared" si="2"/>
        <v>FALSE</v>
      </c>
    </row>
    <row r="61" spans="1:9" x14ac:dyDescent="0.2">
      <c r="A61" t="s">
        <v>1</v>
      </c>
      <c r="B61" t="s">
        <v>15</v>
      </c>
      <c r="C61" t="s">
        <v>54</v>
      </c>
      <c r="D61" t="s">
        <v>68</v>
      </c>
      <c r="E61">
        <v>68.3</v>
      </c>
      <c r="F61">
        <v>63</v>
      </c>
      <c r="G61">
        <f t="shared" si="0"/>
        <v>5.2999999999999972</v>
      </c>
      <c r="H61" t="str">
        <f t="shared" si="1"/>
        <v>FALSE</v>
      </c>
      <c r="I61" t="str">
        <f t="shared" si="2"/>
        <v>FALSE</v>
      </c>
    </row>
    <row r="62" spans="1:9" x14ac:dyDescent="0.2">
      <c r="A62" t="s">
        <v>1</v>
      </c>
      <c r="B62" t="s">
        <v>15</v>
      </c>
      <c r="C62" t="s">
        <v>50</v>
      </c>
      <c r="D62" t="s">
        <v>69</v>
      </c>
      <c r="E62">
        <v>85.8</v>
      </c>
      <c r="F62">
        <v>80.099999999999994</v>
      </c>
      <c r="G62">
        <f t="shared" si="0"/>
        <v>5.7000000000000028</v>
      </c>
      <c r="H62" t="str">
        <f t="shared" si="1"/>
        <v>FALSE</v>
      </c>
      <c r="I62" t="str">
        <f t="shared" si="2"/>
        <v>FALSE</v>
      </c>
    </row>
    <row r="63" spans="1:9" x14ac:dyDescent="0.2">
      <c r="A63" t="s">
        <v>1</v>
      </c>
      <c r="B63" t="s">
        <v>15</v>
      </c>
      <c r="C63" t="s">
        <v>51</v>
      </c>
      <c r="D63" t="s">
        <v>69</v>
      </c>
      <c r="E63">
        <v>78.8</v>
      </c>
      <c r="F63">
        <v>75.099999999999994</v>
      </c>
      <c r="G63">
        <f t="shared" si="0"/>
        <v>3.7000000000000028</v>
      </c>
      <c r="H63" t="str">
        <f t="shared" si="1"/>
        <v>FALSE</v>
      </c>
      <c r="I63" t="str">
        <f t="shared" si="2"/>
        <v>FALSE</v>
      </c>
    </row>
    <row r="64" spans="1:9" x14ac:dyDescent="0.2">
      <c r="A64" t="s">
        <v>1</v>
      </c>
      <c r="B64" t="s">
        <v>15</v>
      </c>
      <c r="C64" t="s">
        <v>52</v>
      </c>
      <c r="D64" t="s">
        <v>69</v>
      </c>
      <c r="E64">
        <v>73.5</v>
      </c>
      <c r="F64">
        <v>67.5</v>
      </c>
      <c r="G64">
        <f t="shared" si="0"/>
        <v>6</v>
      </c>
      <c r="H64" t="str">
        <f t="shared" si="1"/>
        <v>FALSE</v>
      </c>
      <c r="I64" t="str">
        <f t="shared" si="2"/>
        <v>FALSE</v>
      </c>
    </row>
    <row r="65" spans="1:9" x14ac:dyDescent="0.2">
      <c r="A65" t="s">
        <v>1</v>
      </c>
      <c r="B65" t="s">
        <v>15</v>
      </c>
      <c r="C65" t="s">
        <v>53</v>
      </c>
      <c r="D65" t="s">
        <v>69</v>
      </c>
      <c r="E65">
        <v>80.599999999999994</v>
      </c>
      <c r="F65">
        <v>75.3</v>
      </c>
      <c r="G65">
        <f t="shared" si="0"/>
        <v>5.2999999999999972</v>
      </c>
      <c r="H65" t="str">
        <f t="shared" si="1"/>
        <v>FALSE</v>
      </c>
      <c r="I65" t="str">
        <f t="shared" si="2"/>
        <v>FALSE</v>
      </c>
    </row>
    <row r="66" spans="1:9" x14ac:dyDescent="0.2">
      <c r="A66" t="s">
        <v>1</v>
      </c>
      <c r="B66" t="s">
        <v>15</v>
      </c>
      <c r="C66" t="s">
        <v>54</v>
      </c>
      <c r="D66" t="s">
        <v>69</v>
      </c>
      <c r="E66">
        <v>69.099999999999994</v>
      </c>
      <c r="F66">
        <v>65</v>
      </c>
      <c r="G66">
        <f t="shared" si="0"/>
        <v>4.0999999999999943</v>
      </c>
      <c r="H66" t="str">
        <f t="shared" si="1"/>
        <v>FALSE</v>
      </c>
      <c r="I66" t="str">
        <f t="shared" si="2"/>
        <v>FALSE</v>
      </c>
    </row>
    <row r="67" spans="1:9" x14ac:dyDescent="0.2">
      <c r="A67" t="s">
        <v>1</v>
      </c>
      <c r="B67" t="s">
        <v>15</v>
      </c>
      <c r="C67" t="s">
        <v>50</v>
      </c>
      <c r="D67" t="s">
        <v>70</v>
      </c>
      <c r="E67">
        <v>84.4</v>
      </c>
      <c r="F67">
        <v>78.7</v>
      </c>
      <c r="G67">
        <f t="shared" ref="G67:G130" si="3">E67-F67</f>
        <v>5.7000000000000028</v>
      </c>
      <c r="H67" t="str">
        <f t="shared" ref="H67:H130" si="4">IF(G67&gt;10,"TRUE","FALSE")</f>
        <v>FALSE</v>
      </c>
      <c r="I67" t="str">
        <f t="shared" ref="I67:I130" si="5">IF(H67&lt;0,"TRUE","FALSE")</f>
        <v>FALSE</v>
      </c>
    </row>
    <row r="68" spans="1:9" x14ac:dyDescent="0.2">
      <c r="A68" t="s">
        <v>1</v>
      </c>
      <c r="B68" t="s">
        <v>15</v>
      </c>
      <c r="C68" t="s">
        <v>51</v>
      </c>
      <c r="D68" t="s">
        <v>70</v>
      </c>
      <c r="E68">
        <v>79.099999999999994</v>
      </c>
      <c r="F68">
        <v>76.3</v>
      </c>
      <c r="G68">
        <f t="shared" si="3"/>
        <v>2.7999999999999972</v>
      </c>
      <c r="H68" t="str">
        <f t="shared" si="4"/>
        <v>FALSE</v>
      </c>
      <c r="I68" t="str">
        <f t="shared" si="5"/>
        <v>FALSE</v>
      </c>
    </row>
    <row r="69" spans="1:9" x14ac:dyDescent="0.2">
      <c r="A69" t="s">
        <v>1</v>
      </c>
      <c r="B69" t="s">
        <v>15</v>
      </c>
      <c r="C69" t="s">
        <v>52</v>
      </c>
      <c r="D69" t="s">
        <v>70</v>
      </c>
      <c r="E69">
        <v>73.8</v>
      </c>
      <c r="F69">
        <v>68</v>
      </c>
      <c r="G69">
        <f t="shared" si="3"/>
        <v>5.7999999999999972</v>
      </c>
      <c r="H69" t="str">
        <f t="shared" si="4"/>
        <v>FALSE</v>
      </c>
      <c r="I69" t="str">
        <f t="shared" si="5"/>
        <v>FALSE</v>
      </c>
    </row>
    <row r="70" spans="1:9" x14ac:dyDescent="0.2">
      <c r="A70" t="s">
        <v>1</v>
      </c>
      <c r="B70" t="s">
        <v>15</v>
      </c>
      <c r="C70" t="s">
        <v>53</v>
      </c>
      <c r="D70" t="s">
        <v>70</v>
      </c>
      <c r="E70">
        <v>80.7</v>
      </c>
      <c r="F70">
        <v>74.8</v>
      </c>
      <c r="G70">
        <f t="shared" si="3"/>
        <v>5.9000000000000057</v>
      </c>
      <c r="H70" t="str">
        <f t="shared" si="4"/>
        <v>FALSE</v>
      </c>
      <c r="I70" t="str">
        <f t="shared" si="5"/>
        <v>FALSE</v>
      </c>
    </row>
    <row r="71" spans="1:9" x14ac:dyDescent="0.2">
      <c r="A71" t="s">
        <v>1</v>
      </c>
      <c r="B71" t="s">
        <v>15</v>
      </c>
      <c r="C71" t="s">
        <v>54</v>
      </c>
      <c r="D71" t="s">
        <v>70</v>
      </c>
      <c r="E71">
        <v>68.8</v>
      </c>
      <c r="F71">
        <v>62.9</v>
      </c>
      <c r="G71">
        <f t="shared" si="3"/>
        <v>5.8999999999999986</v>
      </c>
      <c r="H71" t="str">
        <f t="shared" si="4"/>
        <v>FALSE</v>
      </c>
      <c r="I71" t="str">
        <f t="shared" si="5"/>
        <v>FALSE</v>
      </c>
    </row>
    <row r="72" spans="1:9" x14ac:dyDescent="0.2">
      <c r="A72" t="s">
        <v>2</v>
      </c>
      <c r="B72" t="s">
        <v>15</v>
      </c>
      <c r="C72" t="s">
        <v>50</v>
      </c>
      <c r="D72" t="s">
        <v>64</v>
      </c>
      <c r="E72">
        <v>87.9</v>
      </c>
      <c r="F72">
        <v>86.1</v>
      </c>
      <c r="G72">
        <f t="shared" si="3"/>
        <v>1.8000000000000114</v>
      </c>
      <c r="H72" t="str">
        <f t="shared" si="4"/>
        <v>FALSE</v>
      </c>
      <c r="I72" t="str">
        <f t="shared" si="5"/>
        <v>FALSE</v>
      </c>
    </row>
    <row r="73" spans="1:9" x14ac:dyDescent="0.2">
      <c r="A73" t="s">
        <v>2</v>
      </c>
      <c r="B73" t="s">
        <v>15</v>
      </c>
      <c r="C73" t="s">
        <v>51</v>
      </c>
      <c r="D73" t="s">
        <v>64</v>
      </c>
      <c r="E73">
        <v>89.3</v>
      </c>
      <c r="F73">
        <v>89.1</v>
      </c>
      <c r="G73">
        <f t="shared" si="3"/>
        <v>0.20000000000000284</v>
      </c>
      <c r="H73" t="str">
        <f t="shared" si="4"/>
        <v>FALSE</v>
      </c>
      <c r="I73" t="str">
        <f t="shared" si="5"/>
        <v>FALSE</v>
      </c>
    </row>
    <row r="74" spans="1:9" x14ac:dyDescent="0.2">
      <c r="A74" t="s">
        <v>2</v>
      </c>
      <c r="B74" t="s">
        <v>15</v>
      </c>
      <c r="C74" t="s">
        <v>52</v>
      </c>
      <c r="D74" t="s">
        <v>64</v>
      </c>
      <c r="E74">
        <v>71.8</v>
      </c>
      <c r="F74">
        <v>69.099999999999994</v>
      </c>
      <c r="G74">
        <f t="shared" si="3"/>
        <v>2.7000000000000028</v>
      </c>
      <c r="H74" t="str">
        <f t="shared" si="4"/>
        <v>FALSE</v>
      </c>
      <c r="I74" t="str">
        <f t="shared" si="5"/>
        <v>FALSE</v>
      </c>
    </row>
    <row r="75" spans="1:9" x14ac:dyDescent="0.2">
      <c r="A75" t="s">
        <v>2</v>
      </c>
      <c r="B75" t="s">
        <v>15</v>
      </c>
      <c r="C75" t="s">
        <v>53</v>
      </c>
      <c r="D75" t="s">
        <v>64</v>
      </c>
      <c r="E75">
        <v>70.099999999999994</v>
      </c>
      <c r="F75">
        <v>65.7</v>
      </c>
      <c r="G75">
        <f t="shared" si="3"/>
        <v>4.3999999999999915</v>
      </c>
      <c r="H75" t="str">
        <f t="shared" si="4"/>
        <v>FALSE</v>
      </c>
      <c r="I75" t="str">
        <f t="shared" si="5"/>
        <v>FALSE</v>
      </c>
    </row>
    <row r="76" spans="1:9" x14ac:dyDescent="0.2">
      <c r="A76" t="s">
        <v>2</v>
      </c>
      <c r="B76" t="s">
        <v>15</v>
      </c>
      <c r="C76" t="s">
        <v>54</v>
      </c>
      <c r="D76" t="s">
        <v>64</v>
      </c>
      <c r="E76">
        <v>81.099999999999994</v>
      </c>
      <c r="F76">
        <v>77.400000000000006</v>
      </c>
      <c r="G76">
        <f t="shared" si="3"/>
        <v>3.6999999999999886</v>
      </c>
      <c r="H76" t="str">
        <f t="shared" si="4"/>
        <v>FALSE</v>
      </c>
      <c r="I76" t="str">
        <f t="shared" si="5"/>
        <v>FALSE</v>
      </c>
    </row>
    <row r="77" spans="1:9" x14ac:dyDescent="0.2">
      <c r="A77" t="s">
        <v>2</v>
      </c>
      <c r="B77" t="s">
        <v>15</v>
      </c>
      <c r="C77" t="s">
        <v>50</v>
      </c>
      <c r="D77" t="s">
        <v>65</v>
      </c>
      <c r="E77">
        <v>89.5</v>
      </c>
      <c r="F77">
        <v>86.4</v>
      </c>
      <c r="G77">
        <f t="shared" si="3"/>
        <v>3.0999999999999943</v>
      </c>
      <c r="H77" t="str">
        <f t="shared" si="4"/>
        <v>FALSE</v>
      </c>
      <c r="I77" t="str">
        <f t="shared" si="5"/>
        <v>FALSE</v>
      </c>
    </row>
    <row r="78" spans="1:9" x14ac:dyDescent="0.2">
      <c r="A78" t="s">
        <v>2</v>
      </c>
      <c r="B78" t="s">
        <v>15</v>
      </c>
      <c r="C78" t="s">
        <v>51</v>
      </c>
      <c r="D78" t="s">
        <v>65</v>
      </c>
      <c r="E78">
        <v>89.8</v>
      </c>
      <c r="F78">
        <v>88.1</v>
      </c>
      <c r="G78">
        <f t="shared" si="3"/>
        <v>1.7000000000000028</v>
      </c>
      <c r="H78" t="str">
        <f t="shared" si="4"/>
        <v>FALSE</v>
      </c>
      <c r="I78" t="str">
        <f t="shared" si="5"/>
        <v>FALSE</v>
      </c>
    </row>
    <row r="79" spans="1:9" x14ac:dyDescent="0.2">
      <c r="A79" t="s">
        <v>2</v>
      </c>
      <c r="B79" t="s">
        <v>15</v>
      </c>
      <c r="C79" t="s">
        <v>52</v>
      </c>
      <c r="D79" t="s">
        <v>65</v>
      </c>
      <c r="E79">
        <v>70.900000000000006</v>
      </c>
      <c r="F79">
        <v>69.2</v>
      </c>
      <c r="G79">
        <f t="shared" si="3"/>
        <v>1.7000000000000028</v>
      </c>
      <c r="H79" t="str">
        <f t="shared" si="4"/>
        <v>FALSE</v>
      </c>
      <c r="I79" t="str">
        <f t="shared" si="5"/>
        <v>FALSE</v>
      </c>
    </row>
    <row r="80" spans="1:9" x14ac:dyDescent="0.2">
      <c r="A80" t="s">
        <v>2</v>
      </c>
      <c r="B80" t="s">
        <v>15</v>
      </c>
      <c r="C80" t="s">
        <v>53</v>
      </c>
      <c r="D80" t="s">
        <v>65</v>
      </c>
      <c r="E80">
        <v>69.5</v>
      </c>
      <c r="F80">
        <v>65.3</v>
      </c>
      <c r="G80">
        <f t="shared" si="3"/>
        <v>4.2000000000000028</v>
      </c>
      <c r="H80" t="str">
        <f t="shared" si="4"/>
        <v>FALSE</v>
      </c>
      <c r="I80" t="str">
        <f t="shared" si="5"/>
        <v>FALSE</v>
      </c>
    </row>
    <row r="81" spans="1:9" x14ac:dyDescent="0.2">
      <c r="A81" t="s">
        <v>2</v>
      </c>
      <c r="B81" t="s">
        <v>15</v>
      </c>
      <c r="C81" t="s">
        <v>54</v>
      </c>
      <c r="D81" t="s">
        <v>65</v>
      </c>
      <c r="E81">
        <v>81.2</v>
      </c>
      <c r="F81">
        <v>77.2</v>
      </c>
      <c r="G81">
        <f t="shared" si="3"/>
        <v>4</v>
      </c>
      <c r="H81" t="str">
        <f t="shared" si="4"/>
        <v>FALSE</v>
      </c>
      <c r="I81" t="str">
        <f t="shared" si="5"/>
        <v>FALSE</v>
      </c>
    </row>
    <row r="82" spans="1:9" x14ac:dyDescent="0.2">
      <c r="A82" t="s">
        <v>2</v>
      </c>
      <c r="B82" t="s">
        <v>15</v>
      </c>
      <c r="C82" t="s">
        <v>50</v>
      </c>
      <c r="D82" t="s">
        <v>66</v>
      </c>
      <c r="E82">
        <v>86.7</v>
      </c>
      <c r="F82">
        <v>86.4</v>
      </c>
      <c r="G82">
        <f t="shared" si="3"/>
        <v>0.29999999999999716</v>
      </c>
      <c r="H82" t="str">
        <f t="shared" si="4"/>
        <v>FALSE</v>
      </c>
      <c r="I82" t="str">
        <f t="shared" si="5"/>
        <v>FALSE</v>
      </c>
    </row>
    <row r="83" spans="1:9" x14ac:dyDescent="0.2">
      <c r="A83" t="s">
        <v>2</v>
      </c>
      <c r="B83" t="s">
        <v>15</v>
      </c>
      <c r="C83" t="s">
        <v>51</v>
      </c>
      <c r="D83" t="s">
        <v>66</v>
      </c>
      <c r="E83">
        <v>89.2</v>
      </c>
      <c r="F83">
        <v>89.2</v>
      </c>
      <c r="G83">
        <f t="shared" si="3"/>
        <v>0</v>
      </c>
      <c r="H83" t="str">
        <f t="shared" si="4"/>
        <v>FALSE</v>
      </c>
      <c r="I83" t="str">
        <f t="shared" si="5"/>
        <v>FALSE</v>
      </c>
    </row>
    <row r="84" spans="1:9" x14ac:dyDescent="0.2">
      <c r="A84" t="s">
        <v>2</v>
      </c>
      <c r="B84" t="s">
        <v>15</v>
      </c>
      <c r="C84" t="s">
        <v>52</v>
      </c>
      <c r="D84" t="s">
        <v>66</v>
      </c>
      <c r="E84">
        <v>73.099999999999994</v>
      </c>
      <c r="F84">
        <v>68.7</v>
      </c>
      <c r="G84">
        <f t="shared" si="3"/>
        <v>4.3999999999999915</v>
      </c>
      <c r="H84" t="str">
        <f t="shared" si="4"/>
        <v>FALSE</v>
      </c>
      <c r="I84" t="str">
        <f t="shared" si="5"/>
        <v>FALSE</v>
      </c>
    </row>
    <row r="85" spans="1:9" x14ac:dyDescent="0.2">
      <c r="A85" t="s">
        <v>2</v>
      </c>
      <c r="B85" t="s">
        <v>15</v>
      </c>
      <c r="C85" t="s">
        <v>53</v>
      </c>
      <c r="D85" t="s">
        <v>66</v>
      </c>
      <c r="E85">
        <v>69.2</v>
      </c>
      <c r="F85">
        <v>65.5</v>
      </c>
      <c r="G85">
        <f t="shared" si="3"/>
        <v>3.7000000000000028</v>
      </c>
      <c r="H85" t="str">
        <f t="shared" si="4"/>
        <v>FALSE</v>
      </c>
      <c r="I85" t="str">
        <f t="shared" si="5"/>
        <v>FALSE</v>
      </c>
    </row>
    <row r="86" spans="1:9" x14ac:dyDescent="0.2">
      <c r="A86" t="s">
        <v>2</v>
      </c>
      <c r="B86" t="s">
        <v>15</v>
      </c>
      <c r="C86" t="s">
        <v>54</v>
      </c>
      <c r="D86" t="s">
        <v>66</v>
      </c>
      <c r="E86">
        <v>81.099999999999994</v>
      </c>
      <c r="F86">
        <v>76.900000000000006</v>
      </c>
      <c r="G86">
        <f t="shared" si="3"/>
        <v>4.1999999999999886</v>
      </c>
      <c r="H86" t="str">
        <f t="shared" si="4"/>
        <v>FALSE</v>
      </c>
      <c r="I86" t="str">
        <f t="shared" si="5"/>
        <v>FALSE</v>
      </c>
    </row>
    <row r="87" spans="1:9" x14ac:dyDescent="0.2">
      <c r="A87" t="s">
        <v>2</v>
      </c>
      <c r="B87" t="s">
        <v>15</v>
      </c>
      <c r="C87" t="s">
        <v>50</v>
      </c>
      <c r="D87" t="s">
        <v>67</v>
      </c>
      <c r="E87">
        <v>89.3</v>
      </c>
      <c r="F87">
        <v>86.2</v>
      </c>
      <c r="G87">
        <f t="shared" si="3"/>
        <v>3.0999999999999943</v>
      </c>
      <c r="H87" t="str">
        <f t="shared" si="4"/>
        <v>FALSE</v>
      </c>
      <c r="I87" t="str">
        <f t="shared" si="5"/>
        <v>FALSE</v>
      </c>
    </row>
    <row r="88" spans="1:9" x14ac:dyDescent="0.2">
      <c r="A88" t="s">
        <v>2</v>
      </c>
      <c r="B88" t="s">
        <v>15</v>
      </c>
      <c r="C88" t="s">
        <v>51</v>
      </c>
      <c r="D88" t="s">
        <v>67</v>
      </c>
      <c r="E88">
        <v>89.9</v>
      </c>
      <c r="F88">
        <v>88.9</v>
      </c>
      <c r="G88">
        <f t="shared" si="3"/>
        <v>1</v>
      </c>
      <c r="H88" t="str">
        <f t="shared" si="4"/>
        <v>FALSE</v>
      </c>
      <c r="I88" t="str">
        <f t="shared" si="5"/>
        <v>FALSE</v>
      </c>
    </row>
    <row r="89" spans="1:9" x14ac:dyDescent="0.2">
      <c r="A89" t="s">
        <v>2</v>
      </c>
      <c r="B89" t="s">
        <v>15</v>
      </c>
      <c r="C89" t="s">
        <v>52</v>
      </c>
      <c r="D89" t="s">
        <v>67</v>
      </c>
      <c r="E89">
        <v>72.900000000000006</v>
      </c>
      <c r="F89">
        <v>69.099999999999994</v>
      </c>
      <c r="G89">
        <f t="shared" si="3"/>
        <v>3.8000000000000114</v>
      </c>
      <c r="H89" t="str">
        <f t="shared" si="4"/>
        <v>FALSE</v>
      </c>
      <c r="I89" t="str">
        <f t="shared" si="5"/>
        <v>FALSE</v>
      </c>
    </row>
    <row r="90" spans="1:9" x14ac:dyDescent="0.2">
      <c r="A90" t="s">
        <v>2</v>
      </c>
      <c r="B90" t="s">
        <v>15</v>
      </c>
      <c r="C90" t="s">
        <v>53</v>
      </c>
      <c r="D90" t="s">
        <v>67</v>
      </c>
      <c r="E90">
        <v>68.8</v>
      </c>
      <c r="F90">
        <v>64.8</v>
      </c>
      <c r="G90">
        <f t="shared" si="3"/>
        <v>4</v>
      </c>
      <c r="H90" t="str">
        <f t="shared" si="4"/>
        <v>FALSE</v>
      </c>
      <c r="I90" t="str">
        <f t="shared" si="5"/>
        <v>FALSE</v>
      </c>
    </row>
    <row r="91" spans="1:9" x14ac:dyDescent="0.2">
      <c r="A91" t="s">
        <v>2</v>
      </c>
      <c r="B91" t="s">
        <v>15</v>
      </c>
      <c r="C91" t="s">
        <v>54</v>
      </c>
      <c r="D91" t="s">
        <v>67</v>
      </c>
      <c r="E91">
        <v>81.8</v>
      </c>
      <c r="F91">
        <v>77.900000000000006</v>
      </c>
      <c r="G91">
        <f t="shared" si="3"/>
        <v>3.8999999999999915</v>
      </c>
      <c r="H91" t="str">
        <f t="shared" si="4"/>
        <v>FALSE</v>
      </c>
      <c r="I91" t="str">
        <f t="shared" si="5"/>
        <v>FALSE</v>
      </c>
    </row>
    <row r="92" spans="1:9" x14ac:dyDescent="0.2">
      <c r="A92" t="s">
        <v>2</v>
      </c>
      <c r="B92" t="s">
        <v>15</v>
      </c>
      <c r="C92" t="s">
        <v>50</v>
      </c>
      <c r="D92" t="s">
        <v>68</v>
      </c>
      <c r="E92">
        <v>88.7</v>
      </c>
      <c r="F92">
        <v>86.5</v>
      </c>
      <c r="G92">
        <f t="shared" si="3"/>
        <v>2.2000000000000028</v>
      </c>
      <c r="H92" t="str">
        <f t="shared" si="4"/>
        <v>FALSE</v>
      </c>
      <c r="I92" t="str">
        <f t="shared" si="5"/>
        <v>FALSE</v>
      </c>
    </row>
    <row r="93" spans="1:9" x14ac:dyDescent="0.2">
      <c r="A93" t="s">
        <v>2</v>
      </c>
      <c r="B93" t="s">
        <v>15</v>
      </c>
      <c r="C93" t="s">
        <v>51</v>
      </c>
      <c r="D93" t="s">
        <v>68</v>
      </c>
      <c r="E93">
        <v>91.5</v>
      </c>
      <c r="F93">
        <v>86.8</v>
      </c>
      <c r="G93">
        <f t="shared" si="3"/>
        <v>4.7000000000000028</v>
      </c>
      <c r="H93" t="str">
        <f t="shared" si="4"/>
        <v>FALSE</v>
      </c>
      <c r="I93" t="str">
        <f t="shared" si="5"/>
        <v>FALSE</v>
      </c>
    </row>
    <row r="94" spans="1:9" x14ac:dyDescent="0.2">
      <c r="A94" t="s">
        <v>2</v>
      </c>
      <c r="B94" t="s">
        <v>15</v>
      </c>
      <c r="C94" t="s">
        <v>52</v>
      </c>
      <c r="D94" t="s">
        <v>68</v>
      </c>
      <c r="E94">
        <v>71.7</v>
      </c>
      <c r="F94">
        <v>69.5</v>
      </c>
      <c r="G94">
        <f t="shared" si="3"/>
        <v>2.2000000000000028</v>
      </c>
      <c r="H94" t="str">
        <f t="shared" si="4"/>
        <v>FALSE</v>
      </c>
      <c r="I94" t="str">
        <f t="shared" si="5"/>
        <v>FALSE</v>
      </c>
    </row>
    <row r="95" spans="1:9" x14ac:dyDescent="0.2">
      <c r="A95" t="s">
        <v>2</v>
      </c>
      <c r="B95" t="s">
        <v>15</v>
      </c>
      <c r="C95" t="s">
        <v>53</v>
      </c>
      <c r="D95" t="s">
        <v>68</v>
      </c>
      <c r="E95">
        <v>71.099999999999994</v>
      </c>
      <c r="F95">
        <v>64.2</v>
      </c>
      <c r="G95">
        <f t="shared" si="3"/>
        <v>6.8999999999999915</v>
      </c>
      <c r="H95" t="str">
        <f t="shared" si="4"/>
        <v>FALSE</v>
      </c>
      <c r="I95" t="str">
        <f t="shared" si="5"/>
        <v>FALSE</v>
      </c>
    </row>
    <row r="96" spans="1:9" x14ac:dyDescent="0.2">
      <c r="A96" t="s">
        <v>2</v>
      </c>
      <c r="B96" t="s">
        <v>15</v>
      </c>
      <c r="C96" t="s">
        <v>54</v>
      </c>
      <c r="D96" t="s">
        <v>68</v>
      </c>
      <c r="E96">
        <v>81.099999999999994</v>
      </c>
      <c r="F96">
        <v>77.8</v>
      </c>
      <c r="G96">
        <f t="shared" si="3"/>
        <v>3.2999999999999972</v>
      </c>
      <c r="H96" t="str">
        <f t="shared" si="4"/>
        <v>FALSE</v>
      </c>
      <c r="I96" t="str">
        <f t="shared" si="5"/>
        <v>FALSE</v>
      </c>
    </row>
    <row r="97" spans="1:9" x14ac:dyDescent="0.2">
      <c r="A97" t="s">
        <v>2</v>
      </c>
      <c r="B97" t="s">
        <v>15</v>
      </c>
      <c r="C97" t="s">
        <v>50</v>
      </c>
      <c r="D97" t="s">
        <v>69</v>
      </c>
      <c r="E97">
        <v>87.8</v>
      </c>
      <c r="F97">
        <v>85.3</v>
      </c>
      <c r="G97">
        <f t="shared" si="3"/>
        <v>2.5</v>
      </c>
      <c r="H97" t="str">
        <f t="shared" si="4"/>
        <v>FALSE</v>
      </c>
      <c r="I97" t="str">
        <f t="shared" si="5"/>
        <v>FALSE</v>
      </c>
    </row>
    <row r="98" spans="1:9" x14ac:dyDescent="0.2">
      <c r="A98" t="s">
        <v>2</v>
      </c>
      <c r="B98" t="s">
        <v>15</v>
      </c>
      <c r="C98" t="s">
        <v>51</v>
      </c>
      <c r="D98" t="s">
        <v>69</v>
      </c>
      <c r="E98">
        <v>89.2</v>
      </c>
      <c r="F98">
        <v>89.3</v>
      </c>
      <c r="G98">
        <f t="shared" si="3"/>
        <v>-9.9999999999994316E-2</v>
      </c>
      <c r="H98" t="str">
        <f t="shared" si="4"/>
        <v>FALSE</v>
      </c>
      <c r="I98" t="str">
        <f t="shared" si="5"/>
        <v>FALSE</v>
      </c>
    </row>
    <row r="99" spans="1:9" x14ac:dyDescent="0.2">
      <c r="A99" t="s">
        <v>2</v>
      </c>
      <c r="B99" t="s">
        <v>15</v>
      </c>
      <c r="C99" t="s">
        <v>52</v>
      </c>
      <c r="D99" t="s">
        <v>69</v>
      </c>
      <c r="E99">
        <v>71.8</v>
      </c>
      <c r="F99">
        <v>71.099999999999994</v>
      </c>
      <c r="G99">
        <f t="shared" si="3"/>
        <v>0.70000000000000284</v>
      </c>
      <c r="H99" t="str">
        <f t="shared" si="4"/>
        <v>FALSE</v>
      </c>
      <c r="I99" t="str">
        <f t="shared" si="5"/>
        <v>FALSE</v>
      </c>
    </row>
    <row r="100" spans="1:9" x14ac:dyDescent="0.2">
      <c r="A100" t="s">
        <v>2</v>
      </c>
      <c r="B100" t="s">
        <v>15</v>
      </c>
      <c r="C100" t="s">
        <v>53</v>
      </c>
      <c r="D100" t="s">
        <v>69</v>
      </c>
      <c r="E100">
        <v>70.2</v>
      </c>
      <c r="F100">
        <v>63.7</v>
      </c>
      <c r="G100">
        <f t="shared" si="3"/>
        <v>6.5</v>
      </c>
      <c r="H100" t="str">
        <f t="shared" si="4"/>
        <v>FALSE</v>
      </c>
      <c r="I100" t="str">
        <f t="shared" si="5"/>
        <v>FALSE</v>
      </c>
    </row>
    <row r="101" spans="1:9" x14ac:dyDescent="0.2">
      <c r="A101" t="s">
        <v>2</v>
      </c>
      <c r="B101" t="s">
        <v>15</v>
      </c>
      <c r="C101" t="s">
        <v>54</v>
      </c>
      <c r="D101" t="s">
        <v>69</v>
      </c>
      <c r="E101">
        <v>83.5</v>
      </c>
      <c r="F101">
        <v>79</v>
      </c>
      <c r="G101">
        <f t="shared" si="3"/>
        <v>4.5</v>
      </c>
      <c r="H101" t="str">
        <f t="shared" si="4"/>
        <v>FALSE</v>
      </c>
      <c r="I101" t="str">
        <f t="shared" si="5"/>
        <v>FALSE</v>
      </c>
    </row>
    <row r="102" spans="1:9" x14ac:dyDescent="0.2">
      <c r="A102" t="s">
        <v>2</v>
      </c>
      <c r="B102" t="s">
        <v>15</v>
      </c>
      <c r="C102" t="s">
        <v>50</v>
      </c>
      <c r="D102" t="s">
        <v>70</v>
      </c>
      <c r="E102">
        <v>89.4</v>
      </c>
      <c r="F102">
        <v>87.3</v>
      </c>
      <c r="G102">
        <f t="shared" si="3"/>
        <v>2.1000000000000085</v>
      </c>
      <c r="H102" t="str">
        <f t="shared" si="4"/>
        <v>FALSE</v>
      </c>
      <c r="I102" t="str">
        <f t="shared" si="5"/>
        <v>FALSE</v>
      </c>
    </row>
    <row r="103" spans="1:9" x14ac:dyDescent="0.2">
      <c r="A103" t="s">
        <v>2</v>
      </c>
      <c r="B103" t="s">
        <v>15</v>
      </c>
      <c r="C103" t="s">
        <v>51</v>
      </c>
      <c r="D103" t="s">
        <v>70</v>
      </c>
      <c r="E103">
        <v>91</v>
      </c>
      <c r="F103">
        <v>87</v>
      </c>
      <c r="G103">
        <f t="shared" si="3"/>
        <v>4</v>
      </c>
      <c r="H103" t="str">
        <f t="shared" si="4"/>
        <v>FALSE</v>
      </c>
      <c r="I103" t="str">
        <f t="shared" si="5"/>
        <v>FALSE</v>
      </c>
    </row>
    <row r="104" spans="1:9" x14ac:dyDescent="0.2">
      <c r="A104" t="s">
        <v>2</v>
      </c>
      <c r="B104" t="s">
        <v>15</v>
      </c>
      <c r="C104" t="s">
        <v>52</v>
      </c>
      <c r="D104" t="s">
        <v>70</v>
      </c>
      <c r="E104">
        <v>72</v>
      </c>
      <c r="F104">
        <v>69.099999999999994</v>
      </c>
      <c r="G104">
        <f t="shared" si="3"/>
        <v>2.9000000000000057</v>
      </c>
      <c r="H104" t="str">
        <f t="shared" si="4"/>
        <v>FALSE</v>
      </c>
      <c r="I104" t="str">
        <f t="shared" si="5"/>
        <v>FALSE</v>
      </c>
    </row>
    <row r="105" spans="1:9" x14ac:dyDescent="0.2">
      <c r="A105" t="s">
        <v>2</v>
      </c>
      <c r="B105" t="s">
        <v>15</v>
      </c>
      <c r="C105" t="s">
        <v>53</v>
      </c>
      <c r="D105" t="s">
        <v>70</v>
      </c>
      <c r="E105">
        <v>69.7</v>
      </c>
      <c r="F105">
        <v>63.7</v>
      </c>
      <c r="G105">
        <f t="shared" si="3"/>
        <v>6</v>
      </c>
      <c r="H105" t="str">
        <f t="shared" si="4"/>
        <v>FALSE</v>
      </c>
      <c r="I105" t="str">
        <f t="shared" si="5"/>
        <v>FALSE</v>
      </c>
    </row>
    <row r="106" spans="1:9" x14ac:dyDescent="0.2">
      <c r="A106" t="s">
        <v>2</v>
      </c>
      <c r="B106" t="s">
        <v>15</v>
      </c>
      <c r="C106" t="s">
        <v>54</v>
      </c>
      <c r="D106" t="s">
        <v>70</v>
      </c>
      <c r="E106">
        <v>81.599999999999994</v>
      </c>
      <c r="F106">
        <v>79.5</v>
      </c>
      <c r="G106">
        <f t="shared" si="3"/>
        <v>2.0999999999999943</v>
      </c>
      <c r="H106" t="str">
        <f t="shared" si="4"/>
        <v>FALSE</v>
      </c>
      <c r="I106" t="str">
        <f t="shared" si="5"/>
        <v>FALSE</v>
      </c>
    </row>
    <row r="107" spans="1:9" x14ac:dyDescent="0.2">
      <c r="A107" t="s">
        <v>3</v>
      </c>
      <c r="B107" t="s">
        <v>15</v>
      </c>
      <c r="C107" t="s">
        <v>50</v>
      </c>
      <c r="D107" t="s">
        <v>64</v>
      </c>
      <c r="E107">
        <v>79.3</v>
      </c>
      <c r="F107">
        <v>82.9</v>
      </c>
      <c r="G107">
        <f t="shared" si="3"/>
        <v>-3.6000000000000085</v>
      </c>
      <c r="H107" t="str">
        <f t="shared" si="4"/>
        <v>FALSE</v>
      </c>
      <c r="I107" t="str">
        <f t="shared" si="5"/>
        <v>FALSE</v>
      </c>
    </row>
    <row r="108" spans="1:9" x14ac:dyDescent="0.2">
      <c r="A108" t="s">
        <v>3</v>
      </c>
      <c r="B108" t="s">
        <v>15</v>
      </c>
      <c r="C108" t="s">
        <v>51</v>
      </c>
      <c r="D108" t="s">
        <v>64</v>
      </c>
      <c r="E108">
        <v>64.900000000000006</v>
      </c>
      <c r="F108">
        <v>59.8</v>
      </c>
      <c r="G108">
        <f t="shared" si="3"/>
        <v>5.1000000000000085</v>
      </c>
      <c r="H108" t="str">
        <f t="shared" si="4"/>
        <v>FALSE</v>
      </c>
      <c r="I108" t="str">
        <f t="shared" si="5"/>
        <v>FALSE</v>
      </c>
    </row>
    <row r="109" spans="1:9" x14ac:dyDescent="0.2">
      <c r="A109" t="s">
        <v>3</v>
      </c>
      <c r="B109" t="s">
        <v>15</v>
      </c>
      <c r="C109" t="s">
        <v>52</v>
      </c>
      <c r="D109" t="s">
        <v>64</v>
      </c>
      <c r="E109">
        <v>86.4</v>
      </c>
      <c r="F109">
        <v>81.5</v>
      </c>
      <c r="G109">
        <f t="shared" si="3"/>
        <v>4.9000000000000057</v>
      </c>
      <c r="H109" t="str">
        <f t="shared" si="4"/>
        <v>FALSE</v>
      </c>
      <c r="I109" t="str">
        <f t="shared" si="5"/>
        <v>FALSE</v>
      </c>
    </row>
    <row r="110" spans="1:9" x14ac:dyDescent="0.2">
      <c r="A110" t="s">
        <v>3</v>
      </c>
      <c r="B110" t="s">
        <v>15</v>
      </c>
      <c r="C110" t="s">
        <v>53</v>
      </c>
      <c r="D110" t="s">
        <v>64</v>
      </c>
      <c r="E110">
        <v>88.2</v>
      </c>
      <c r="F110">
        <v>85.7</v>
      </c>
      <c r="G110">
        <f t="shared" si="3"/>
        <v>2.5</v>
      </c>
      <c r="H110" t="str">
        <f t="shared" si="4"/>
        <v>FALSE</v>
      </c>
      <c r="I110" t="str">
        <f t="shared" si="5"/>
        <v>FALSE</v>
      </c>
    </row>
    <row r="111" spans="1:9" x14ac:dyDescent="0.2">
      <c r="A111" t="s">
        <v>3</v>
      </c>
      <c r="B111" t="s">
        <v>15</v>
      </c>
      <c r="C111" t="s">
        <v>54</v>
      </c>
      <c r="D111" t="s">
        <v>64</v>
      </c>
      <c r="E111">
        <v>59</v>
      </c>
      <c r="F111">
        <v>54.4</v>
      </c>
      <c r="G111">
        <f t="shared" si="3"/>
        <v>4.6000000000000014</v>
      </c>
      <c r="H111" t="str">
        <f t="shared" si="4"/>
        <v>FALSE</v>
      </c>
      <c r="I111" t="str">
        <f t="shared" si="5"/>
        <v>FALSE</v>
      </c>
    </row>
    <row r="112" spans="1:9" x14ac:dyDescent="0.2">
      <c r="A112" t="s">
        <v>3</v>
      </c>
      <c r="B112" t="s">
        <v>15</v>
      </c>
      <c r="C112" t="s">
        <v>50</v>
      </c>
      <c r="D112" t="s">
        <v>65</v>
      </c>
      <c r="E112">
        <v>81.400000000000006</v>
      </c>
      <c r="F112">
        <v>82.2</v>
      </c>
      <c r="G112">
        <f t="shared" si="3"/>
        <v>-0.79999999999999716</v>
      </c>
      <c r="H112" t="str">
        <f t="shared" si="4"/>
        <v>FALSE</v>
      </c>
      <c r="I112" t="str">
        <f t="shared" si="5"/>
        <v>FALSE</v>
      </c>
    </row>
    <row r="113" spans="1:9" x14ac:dyDescent="0.2">
      <c r="A113" t="s">
        <v>3</v>
      </c>
      <c r="B113" t="s">
        <v>15</v>
      </c>
      <c r="C113" t="s">
        <v>51</v>
      </c>
      <c r="D113" t="s">
        <v>65</v>
      </c>
      <c r="E113">
        <v>65.099999999999994</v>
      </c>
      <c r="F113">
        <v>60.7</v>
      </c>
      <c r="G113">
        <f t="shared" si="3"/>
        <v>4.3999999999999915</v>
      </c>
      <c r="H113" t="str">
        <f t="shared" si="4"/>
        <v>FALSE</v>
      </c>
      <c r="I113" t="str">
        <f t="shared" si="5"/>
        <v>FALSE</v>
      </c>
    </row>
    <row r="114" spans="1:9" x14ac:dyDescent="0.2">
      <c r="A114" t="s">
        <v>3</v>
      </c>
      <c r="B114" t="s">
        <v>15</v>
      </c>
      <c r="C114" t="s">
        <v>52</v>
      </c>
      <c r="D114" t="s">
        <v>65</v>
      </c>
      <c r="E114">
        <v>83.7</v>
      </c>
      <c r="F114">
        <v>80.3</v>
      </c>
      <c r="G114">
        <f t="shared" si="3"/>
        <v>3.4000000000000057</v>
      </c>
      <c r="H114" t="str">
        <f t="shared" si="4"/>
        <v>FALSE</v>
      </c>
      <c r="I114" t="str">
        <f t="shared" si="5"/>
        <v>FALSE</v>
      </c>
    </row>
    <row r="115" spans="1:9" x14ac:dyDescent="0.2">
      <c r="A115" t="s">
        <v>3</v>
      </c>
      <c r="B115" t="s">
        <v>15</v>
      </c>
      <c r="C115" t="s">
        <v>53</v>
      </c>
      <c r="D115" t="s">
        <v>65</v>
      </c>
      <c r="E115">
        <v>88</v>
      </c>
      <c r="F115">
        <v>86.1</v>
      </c>
      <c r="G115">
        <f t="shared" si="3"/>
        <v>1.9000000000000057</v>
      </c>
      <c r="H115" t="str">
        <f t="shared" si="4"/>
        <v>FALSE</v>
      </c>
      <c r="I115" t="str">
        <f t="shared" si="5"/>
        <v>FALSE</v>
      </c>
    </row>
    <row r="116" spans="1:9" x14ac:dyDescent="0.2">
      <c r="A116" t="s">
        <v>3</v>
      </c>
      <c r="B116" t="s">
        <v>15</v>
      </c>
      <c r="C116" t="s">
        <v>54</v>
      </c>
      <c r="D116" t="s">
        <v>65</v>
      </c>
      <c r="E116">
        <v>59</v>
      </c>
      <c r="F116">
        <v>56.4</v>
      </c>
      <c r="G116">
        <f t="shared" si="3"/>
        <v>2.6000000000000014</v>
      </c>
      <c r="H116" t="str">
        <f t="shared" si="4"/>
        <v>FALSE</v>
      </c>
      <c r="I116" t="str">
        <f t="shared" si="5"/>
        <v>FALSE</v>
      </c>
    </row>
    <row r="117" spans="1:9" x14ac:dyDescent="0.2">
      <c r="A117" t="s">
        <v>3</v>
      </c>
      <c r="B117" t="s">
        <v>15</v>
      </c>
      <c r="C117" t="s">
        <v>50</v>
      </c>
      <c r="D117" t="s">
        <v>66</v>
      </c>
      <c r="E117">
        <v>78.7</v>
      </c>
      <c r="F117">
        <v>81.099999999999994</v>
      </c>
      <c r="G117">
        <f t="shared" si="3"/>
        <v>-2.3999999999999915</v>
      </c>
      <c r="H117" t="str">
        <f t="shared" si="4"/>
        <v>FALSE</v>
      </c>
      <c r="I117" t="str">
        <f t="shared" si="5"/>
        <v>FALSE</v>
      </c>
    </row>
    <row r="118" spans="1:9" x14ac:dyDescent="0.2">
      <c r="A118" t="s">
        <v>3</v>
      </c>
      <c r="B118" t="s">
        <v>15</v>
      </c>
      <c r="C118" t="s">
        <v>51</v>
      </c>
      <c r="D118" t="s">
        <v>66</v>
      </c>
      <c r="E118">
        <v>65.3</v>
      </c>
      <c r="F118">
        <v>60.5</v>
      </c>
      <c r="G118">
        <f t="shared" si="3"/>
        <v>4.7999999999999972</v>
      </c>
      <c r="H118" t="str">
        <f t="shared" si="4"/>
        <v>FALSE</v>
      </c>
      <c r="I118" t="str">
        <f t="shared" si="5"/>
        <v>FALSE</v>
      </c>
    </row>
    <row r="119" spans="1:9" x14ac:dyDescent="0.2">
      <c r="A119" t="s">
        <v>3</v>
      </c>
      <c r="B119" t="s">
        <v>15</v>
      </c>
      <c r="C119" t="s">
        <v>52</v>
      </c>
      <c r="D119" t="s">
        <v>66</v>
      </c>
      <c r="E119">
        <v>84.2</v>
      </c>
      <c r="F119">
        <v>78.900000000000006</v>
      </c>
      <c r="G119">
        <f t="shared" si="3"/>
        <v>5.2999999999999972</v>
      </c>
      <c r="H119" t="str">
        <f t="shared" si="4"/>
        <v>FALSE</v>
      </c>
      <c r="I119" t="str">
        <f t="shared" si="5"/>
        <v>FALSE</v>
      </c>
    </row>
    <row r="120" spans="1:9" x14ac:dyDescent="0.2">
      <c r="A120" t="s">
        <v>3</v>
      </c>
      <c r="B120" t="s">
        <v>15</v>
      </c>
      <c r="C120" t="s">
        <v>53</v>
      </c>
      <c r="D120" t="s">
        <v>66</v>
      </c>
      <c r="E120">
        <v>89.2</v>
      </c>
      <c r="F120">
        <v>84.2</v>
      </c>
      <c r="G120">
        <f t="shared" si="3"/>
        <v>5</v>
      </c>
      <c r="H120" t="str">
        <f t="shared" si="4"/>
        <v>FALSE</v>
      </c>
      <c r="I120" t="str">
        <f t="shared" si="5"/>
        <v>FALSE</v>
      </c>
    </row>
    <row r="121" spans="1:9" x14ac:dyDescent="0.2">
      <c r="A121" t="s">
        <v>3</v>
      </c>
      <c r="B121" t="s">
        <v>15</v>
      </c>
      <c r="C121" t="s">
        <v>54</v>
      </c>
      <c r="D121" t="s">
        <v>66</v>
      </c>
      <c r="E121">
        <v>60.3</v>
      </c>
      <c r="F121">
        <v>55.4</v>
      </c>
      <c r="G121">
        <f t="shared" si="3"/>
        <v>4.8999999999999986</v>
      </c>
      <c r="H121" t="str">
        <f t="shared" si="4"/>
        <v>FALSE</v>
      </c>
      <c r="I121" t="str">
        <f t="shared" si="5"/>
        <v>FALSE</v>
      </c>
    </row>
    <row r="122" spans="1:9" x14ac:dyDescent="0.2">
      <c r="A122" t="s">
        <v>3</v>
      </c>
      <c r="B122" t="s">
        <v>15</v>
      </c>
      <c r="C122" t="s">
        <v>50</v>
      </c>
      <c r="D122" t="s">
        <v>67</v>
      </c>
      <c r="E122">
        <v>79.8</v>
      </c>
      <c r="F122">
        <v>82.3</v>
      </c>
      <c r="G122">
        <f t="shared" si="3"/>
        <v>-2.5</v>
      </c>
      <c r="H122" t="str">
        <f t="shared" si="4"/>
        <v>FALSE</v>
      </c>
      <c r="I122" t="str">
        <f t="shared" si="5"/>
        <v>FALSE</v>
      </c>
    </row>
    <row r="123" spans="1:9" x14ac:dyDescent="0.2">
      <c r="A123" t="s">
        <v>3</v>
      </c>
      <c r="B123" t="s">
        <v>15</v>
      </c>
      <c r="C123" t="s">
        <v>51</v>
      </c>
      <c r="D123" t="s">
        <v>67</v>
      </c>
      <c r="E123">
        <v>65.099999999999994</v>
      </c>
      <c r="F123">
        <v>61.3</v>
      </c>
      <c r="G123">
        <f t="shared" si="3"/>
        <v>3.7999999999999972</v>
      </c>
      <c r="H123" t="str">
        <f t="shared" si="4"/>
        <v>FALSE</v>
      </c>
      <c r="I123" t="str">
        <f t="shared" si="5"/>
        <v>FALSE</v>
      </c>
    </row>
    <row r="124" spans="1:9" x14ac:dyDescent="0.2">
      <c r="A124" t="s">
        <v>3</v>
      </c>
      <c r="B124" t="s">
        <v>15</v>
      </c>
      <c r="C124" t="s">
        <v>52</v>
      </c>
      <c r="D124" t="s">
        <v>67</v>
      </c>
      <c r="E124">
        <v>84.1</v>
      </c>
      <c r="F124">
        <v>80.599999999999994</v>
      </c>
      <c r="G124">
        <f t="shared" si="3"/>
        <v>3.5</v>
      </c>
      <c r="H124" t="str">
        <f t="shared" si="4"/>
        <v>FALSE</v>
      </c>
      <c r="I124" t="str">
        <f t="shared" si="5"/>
        <v>FALSE</v>
      </c>
    </row>
    <row r="125" spans="1:9" x14ac:dyDescent="0.2">
      <c r="A125" t="s">
        <v>3</v>
      </c>
      <c r="B125" t="s">
        <v>15</v>
      </c>
      <c r="C125" t="s">
        <v>53</v>
      </c>
      <c r="D125" t="s">
        <v>67</v>
      </c>
      <c r="E125">
        <v>87.2</v>
      </c>
      <c r="F125">
        <v>84.7</v>
      </c>
      <c r="G125">
        <f t="shared" si="3"/>
        <v>2.5</v>
      </c>
      <c r="H125" t="str">
        <f t="shared" si="4"/>
        <v>FALSE</v>
      </c>
      <c r="I125" t="str">
        <f t="shared" si="5"/>
        <v>FALSE</v>
      </c>
    </row>
    <row r="126" spans="1:9" x14ac:dyDescent="0.2">
      <c r="A126" t="s">
        <v>3</v>
      </c>
      <c r="B126" t="s">
        <v>15</v>
      </c>
      <c r="C126" t="s">
        <v>54</v>
      </c>
      <c r="D126" t="s">
        <v>67</v>
      </c>
      <c r="E126">
        <v>60.5</v>
      </c>
      <c r="F126">
        <v>54.4</v>
      </c>
      <c r="G126">
        <f t="shared" si="3"/>
        <v>6.1000000000000014</v>
      </c>
      <c r="H126" t="str">
        <f t="shared" si="4"/>
        <v>FALSE</v>
      </c>
      <c r="I126" t="str">
        <f t="shared" si="5"/>
        <v>FALSE</v>
      </c>
    </row>
    <row r="127" spans="1:9" x14ac:dyDescent="0.2">
      <c r="A127" t="s">
        <v>3</v>
      </c>
      <c r="B127" t="s">
        <v>15</v>
      </c>
      <c r="C127" t="s">
        <v>50</v>
      </c>
      <c r="D127" t="s">
        <v>68</v>
      </c>
      <c r="E127">
        <v>79.400000000000006</v>
      </c>
      <c r="F127">
        <v>82.8</v>
      </c>
      <c r="G127">
        <f t="shared" si="3"/>
        <v>-3.3999999999999915</v>
      </c>
      <c r="H127" t="str">
        <f t="shared" si="4"/>
        <v>FALSE</v>
      </c>
      <c r="I127" t="str">
        <f t="shared" si="5"/>
        <v>FALSE</v>
      </c>
    </row>
    <row r="128" spans="1:9" x14ac:dyDescent="0.2">
      <c r="A128" t="s">
        <v>3</v>
      </c>
      <c r="B128" t="s">
        <v>15</v>
      </c>
      <c r="C128" t="s">
        <v>51</v>
      </c>
      <c r="D128" t="s">
        <v>68</v>
      </c>
      <c r="E128">
        <v>63.7</v>
      </c>
      <c r="F128">
        <v>59.9</v>
      </c>
      <c r="G128">
        <f t="shared" si="3"/>
        <v>3.8000000000000043</v>
      </c>
      <c r="H128" t="str">
        <f t="shared" si="4"/>
        <v>FALSE</v>
      </c>
      <c r="I128" t="str">
        <f t="shared" si="5"/>
        <v>FALSE</v>
      </c>
    </row>
    <row r="129" spans="1:9" x14ac:dyDescent="0.2">
      <c r="A129" t="s">
        <v>3</v>
      </c>
      <c r="B129" t="s">
        <v>15</v>
      </c>
      <c r="C129" t="s">
        <v>52</v>
      </c>
      <c r="D129" t="s">
        <v>68</v>
      </c>
      <c r="E129">
        <v>86.5</v>
      </c>
      <c r="F129">
        <v>81.5</v>
      </c>
      <c r="G129">
        <f t="shared" si="3"/>
        <v>5</v>
      </c>
      <c r="H129" t="str">
        <f t="shared" si="4"/>
        <v>FALSE</v>
      </c>
      <c r="I129" t="str">
        <f t="shared" si="5"/>
        <v>FALSE</v>
      </c>
    </row>
    <row r="130" spans="1:9" x14ac:dyDescent="0.2">
      <c r="A130" t="s">
        <v>3</v>
      </c>
      <c r="B130" t="s">
        <v>15</v>
      </c>
      <c r="C130" t="s">
        <v>53</v>
      </c>
      <c r="D130" t="s">
        <v>68</v>
      </c>
      <c r="E130">
        <v>86.7</v>
      </c>
      <c r="F130">
        <v>84.1</v>
      </c>
      <c r="G130">
        <f t="shared" si="3"/>
        <v>2.6000000000000085</v>
      </c>
      <c r="H130" t="str">
        <f t="shared" si="4"/>
        <v>FALSE</v>
      </c>
      <c r="I130" t="str">
        <f t="shared" si="5"/>
        <v>FALSE</v>
      </c>
    </row>
    <row r="131" spans="1:9" x14ac:dyDescent="0.2">
      <c r="A131" t="s">
        <v>3</v>
      </c>
      <c r="B131" t="s">
        <v>15</v>
      </c>
      <c r="C131" t="s">
        <v>54</v>
      </c>
      <c r="D131" t="s">
        <v>68</v>
      </c>
      <c r="E131">
        <v>59.3</v>
      </c>
      <c r="F131">
        <v>56.3</v>
      </c>
      <c r="G131">
        <f t="shared" ref="G131:G176" si="6">E131-F131</f>
        <v>3</v>
      </c>
      <c r="H131" t="str">
        <f t="shared" ref="H131:H176" si="7">IF(G131&gt;10,"TRUE","FALSE")</f>
        <v>FALSE</v>
      </c>
      <c r="I131" t="str">
        <f t="shared" ref="I131:I176" si="8">IF(H131&lt;0,"TRUE","FALSE")</f>
        <v>FALSE</v>
      </c>
    </row>
    <row r="132" spans="1:9" x14ac:dyDescent="0.2">
      <c r="A132" t="s">
        <v>3</v>
      </c>
      <c r="B132" t="s">
        <v>15</v>
      </c>
      <c r="C132" t="s">
        <v>50</v>
      </c>
      <c r="D132" t="s">
        <v>69</v>
      </c>
      <c r="E132">
        <v>81.099999999999994</v>
      </c>
      <c r="F132">
        <v>83.1</v>
      </c>
      <c r="G132">
        <f t="shared" si="6"/>
        <v>-2</v>
      </c>
      <c r="H132" t="str">
        <f t="shared" si="7"/>
        <v>FALSE</v>
      </c>
      <c r="I132" t="str">
        <f t="shared" si="8"/>
        <v>FALSE</v>
      </c>
    </row>
    <row r="133" spans="1:9" x14ac:dyDescent="0.2">
      <c r="A133" t="s">
        <v>3</v>
      </c>
      <c r="B133" t="s">
        <v>15</v>
      </c>
      <c r="C133" t="s">
        <v>51</v>
      </c>
      <c r="D133" t="s">
        <v>69</v>
      </c>
      <c r="E133">
        <v>64.599999999999994</v>
      </c>
      <c r="F133">
        <v>59</v>
      </c>
      <c r="G133">
        <f t="shared" si="6"/>
        <v>5.5999999999999943</v>
      </c>
      <c r="H133" t="str">
        <f t="shared" si="7"/>
        <v>FALSE</v>
      </c>
      <c r="I133" t="str">
        <f t="shared" si="8"/>
        <v>FALSE</v>
      </c>
    </row>
    <row r="134" spans="1:9" x14ac:dyDescent="0.2">
      <c r="A134" t="s">
        <v>3</v>
      </c>
      <c r="B134" t="s">
        <v>15</v>
      </c>
      <c r="C134" t="s">
        <v>52</v>
      </c>
      <c r="D134" t="s">
        <v>69</v>
      </c>
      <c r="E134">
        <v>86</v>
      </c>
      <c r="F134">
        <v>80.599999999999994</v>
      </c>
      <c r="G134">
        <f t="shared" si="6"/>
        <v>5.4000000000000057</v>
      </c>
      <c r="H134" t="str">
        <f t="shared" si="7"/>
        <v>FALSE</v>
      </c>
      <c r="I134" t="str">
        <f t="shared" si="8"/>
        <v>FALSE</v>
      </c>
    </row>
    <row r="135" spans="1:9" x14ac:dyDescent="0.2">
      <c r="A135" t="s">
        <v>3</v>
      </c>
      <c r="B135" t="s">
        <v>15</v>
      </c>
      <c r="C135" t="s">
        <v>53</v>
      </c>
      <c r="D135" t="s">
        <v>69</v>
      </c>
      <c r="E135">
        <v>88.3</v>
      </c>
      <c r="F135">
        <v>86.5</v>
      </c>
      <c r="G135">
        <f t="shared" si="6"/>
        <v>1.7999999999999972</v>
      </c>
      <c r="H135" t="str">
        <f t="shared" si="7"/>
        <v>FALSE</v>
      </c>
      <c r="I135" t="str">
        <f t="shared" si="8"/>
        <v>FALSE</v>
      </c>
    </row>
    <row r="136" spans="1:9" x14ac:dyDescent="0.2">
      <c r="A136" t="s">
        <v>3</v>
      </c>
      <c r="B136" t="s">
        <v>15</v>
      </c>
      <c r="C136" t="s">
        <v>54</v>
      </c>
      <c r="D136" t="s">
        <v>69</v>
      </c>
      <c r="E136">
        <v>60.5</v>
      </c>
      <c r="F136">
        <v>53.5</v>
      </c>
      <c r="G136">
        <f t="shared" si="6"/>
        <v>7</v>
      </c>
      <c r="H136" t="str">
        <f t="shared" si="7"/>
        <v>FALSE</v>
      </c>
      <c r="I136" t="str">
        <f t="shared" si="8"/>
        <v>FALSE</v>
      </c>
    </row>
    <row r="137" spans="1:9" x14ac:dyDescent="0.2">
      <c r="A137" t="s">
        <v>3</v>
      </c>
      <c r="B137" t="s">
        <v>15</v>
      </c>
      <c r="C137" t="s">
        <v>50</v>
      </c>
      <c r="D137" t="s">
        <v>70</v>
      </c>
      <c r="E137">
        <v>81</v>
      </c>
      <c r="F137">
        <v>81.400000000000006</v>
      </c>
      <c r="G137">
        <f t="shared" si="6"/>
        <v>-0.40000000000000568</v>
      </c>
      <c r="H137" t="str">
        <f t="shared" si="7"/>
        <v>FALSE</v>
      </c>
      <c r="I137" t="str">
        <f t="shared" si="8"/>
        <v>FALSE</v>
      </c>
    </row>
    <row r="138" spans="1:9" x14ac:dyDescent="0.2">
      <c r="A138" t="s">
        <v>3</v>
      </c>
      <c r="B138" t="s">
        <v>15</v>
      </c>
      <c r="C138" t="s">
        <v>51</v>
      </c>
      <c r="D138" t="s">
        <v>70</v>
      </c>
      <c r="E138">
        <v>65.5</v>
      </c>
      <c r="F138">
        <v>61.3</v>
      </c>
      <c r="G138">
        <f t="shared" si="6"/>
        <v>4.2000000000000028</v>
      </c>
      <c r="H138" t="str">
        <f t="shared" si="7"/>
        <v>FALSE</v>
      </c>
      <c r="I138" t="str">
        <f t="shared" si="8"/>
        <v>FALSE</v>
      </c>
    </row>
    <row r="139" spans="1:9" x14ac:dyDescent="0.2">
      <c r="A139" t="s">
        <v>3</v>
      </c>
      <c r="B139" t="s">
        <v>15</v>
      </c>
      <c r="C139" t="s">
        <v>52</v>
      </c>
      <c r="D139" t="s">
        <v>70</v>
      </c>
      <c r="E139">
        <v>83.9</v>
      </c>
      <c r="F139">
        <v>78.8</v>
      </c>
      <c r="G139">
        <f t="shared" si="6"/>
        <v>5.1000000000000085</v>
      </c>
      <c r="H139" t="str">
        <f t="shared" si="7"/>
        <v>FALSE</v>
      </c>
      <c r="I139" t="str">
        <f t="shared" si="8"/>
        <v>FALSE</v>
      </c>
    </row>
    <row r="140" spans="1:9" x14ac:dyDescent="0.2">
      <c r="A140" t="s">
        <v>3</v>
      </c>
      <c r="B140" t="s">
        <v>15</v>
      </c>
      <c r="C140" t="s">
        <v>53</v>
      </c>
      <c r="D140" t="s">
        <v>70</v>
      </c>
      <c r="E140">
        <v>86.8</v>
      </c>
      <c r="F140">
        <v>85.2</v>
      </c>
      <c r="G140">
        <f t="shared" si="6"/>
        <v>1.5999999999999943</v>
      </c>
      <c r="H140" t="str">
        <f t="shared" si="7"/>
        <v>FALSE</v>
      </c>
      <c r="I140" t="str">
        <f t="shared" si="8"/>
        <v>FALSE</v>
      </c>
    </row>
    <row r="141" spans="1:9" x14ac:dyDescent="0.2">
      <c r="A141" t="s">
        <v>3</v>
      </c>
      <c r="B141" t="s">
        <v>15</v>
      </c>
      <c r="C141" t="s">
        <v>54</v>
      </c>
      <c r="D141" t="s">
        <v>70</v>
      </c>
      <c r="E141">
        <v>59.3</v>
      </c>
      <c r="F141">
        <v>55.3</v>
      </c>
      <c r="G141">
        <f t="shared" si="6"/>
        <v>4</v>
      </c>
      <c r="H141" t="str">
        <f t="shared" si="7"/>
        <v>FALSE</v>
      </c>
      <c r="I141" t="str">
        <f t="shared" si="8"/>
        <v>FALSE</v>
      </c>
    </row>
    <row r="142" spans="1:9" x14ac:dyDescent="0.2">
      <c r="A142" t="s">
        <v>4</v>
      </c>
      <c r="B142" t="s">
        <v>15</v>
      </c>
      <c r="C142" t="s">
        <v>50</v>
      </c>
      <c r="D142" t="s">
        <v>64</v>
      </c>
      <c r="E142">
        <v>78.7</v>
      </c>
      <c r="F142">
        <v>74.099999999999994</v>
      </c>
      <c r="G142">
        <f t="shared" si="6"/>
        <v>4.6000000000000085</v>
      </c>
      <c r="H142" t="str">
        <f t="shared" si="7"/>
        <v>FALSE</v>
      </c>
      <c r="I142" t="str">
        <f t="shared" si="8"/>
        <v>FALSE</v>
      </c>
    </row>
    <row r="143" spans="1:9" x14ac:dyDescent="0.2">
      <c r="A143" t="s">
        <v>4</v>
      </c>
      <c r="B143" t="s">
        <v>15</v>
      </c>
      <c r="C143" t="s">
        <v>51</v>
      </c>
      <c r="D143" t="s">
        <v>64</v>
      </c>
      <c r="E143">
        <v>72.400000000000006</v>
      </c>
      <c r="F143">
        <v>69.3</v>
      </c>
      <c r="G143">
        <f t="shared" si="6"/>
        <v>3.1000000000000085</v>
      </c>
      <c r="H143" t="str">
        <f t="shared" si="7"/>
        <v>FALSE</v>
      </c>
      <c r="I143" t="str">
        <f t="shared" si="8"/>
        <v>FALSE</v>
      </c>
    </row>
    <row r="144" spans="1:9" x14ac:dyDescent="0.2">
      <c r="A144" t="s">
        <v>4</v>
      </c>
      <c r="B144" t="s">
        <v>15</v>
      </c>
      <c r="C144" t="s">
        <v>52</v>
      </c>
      <c r="D144" t="s">
        <v>64</v>
      </c>
      <c r="E144">
        <v>70</v>
      </c>
      <c r="F144">
        <v>66.2</v>
      </c>
      <c r="G144">
        <f t="shared" si="6"/>
        <v>3.7999999999999972</v>
      </c>
      <c r="H144" t="str">
        <f t="shared" si="7"/>
        <v>FALSE</v>
      </c>
      <c r="I144" t="str">
        <f t="shared" si="8"/>
        <v>FALSE</v>
      </c>
    </row>
    <row r="145" spans="1:9" x14ac:dyDescent="0.2">
      <c r="A145" t="s">
        <v>4</v>
      </c>
      <c r="B145" t="s">
        <v>15</v>
      </c>
      <c r="C145" t="s">
        <v>53</v>
      </c>
      <c r="D145" t="s">
        <v>64</v>
      </c>
      <c r="E145">
        <v>81</v>
      </c>
      <c r="F145">
        <v>74.8</v>
      </c>
      <c r="G145">
        <f t="shared" si="6"/>
        <v>6.2000000000000028</v>
      </c>
      <c r="H145" t="str">
        <f t="shared" si="7"/>
        <v>FALSE</v>
      </c>
      <c r="I145" t="str">
        <f t="shared" si="8"/>
        <v>FALSE</v>
      </c>
    </row>
    <row r="146" spans="1:9" x14ac:dyDescent="0.2">
      <c r="A146" t="s">
        <v>4</v>
      </c>
      <c r="B146" t="s">
        <v>15</v>
      </c>
      <c r="C146" t="s">
        <v>54</v>
      </c>
      <c r="D146" t="s">
        <v>64</v>
      </c>
      <c r="E146">
        <v>64.8</v>
      </c>
      <c r="F146">
        <v>61.3</v>
      </c>
      <c r="G146">
        <f t="shared" si="6"/>
        <v>3.5</v>
      </c>
      <c r="H146" t="str">
        <f t="shared" si="7"/>
        <v>FALSE</v>
      </c>
      <c r="I146" t="str">
        <f t="shared" si="8"/>
        <v>FALSE</v>
      </c>
    </row>
    <row r="147" spans="1:9" x14ac:dyDescent="0.2">
      <c r="A147" t="s">
        <v>4</v>
      </c>
      <c r="B147" t="s">
        <v>15</v>
      </c>
      <c r="C147" t="s">
        <v>50</v>
      </c>
      <c r="D147" t="s">
        <v>65</v>
      </c>
      <c r="E147">
        <v>76.5</v>
      </c>
      <c r="F147">
        <v>75.8</v>
      </c>
      <c r="G147">
        <f t="shared" si="6"/>
        <v>0.70000000000000284</v>
      </c>
      <c r="H147" t="str">
        <f t="shared" si="7"/>
        <v>FALSE</v>
      </c>
      <c r="I147" t="str">
        <f t="shared" si="8"/>
        <v>FALSE</v>
      </c>
    </row>
    <row r="148" spans="1:9" x14ac:dyDescent="0.2">
      <c r="A148" t="s">
        <v>4</v>
      </c>
      <c r="B148" t="s">
        <v>15</v>
      </c>
      <c r="C148" t="s">
        <v>51</v>
      </c>
      <c r="D148" t="s">
        <v>65</v>
      </c>
      <c r="E148">
        <v>72.400000000000006</v>
      </c>
      <c r="F148">
        <v>69.3</v>
      </c>
      <c r="G148">
        <f t="shared" si="6"/>
        <v>3.1000000000000085</v>
      </c>
      <c r="H148" t="str">
        <f t="shared" si="7"/>
        <v>FALSE</v>
      </c>
      <c r="I148" t="str">
        <f t="shared" si="8"/>
        <v>FALSE</v>
      </c>
    </row>
    <row r="149" spans="1:9" x14ac:dyDescent="0.2">
      <c r="A149" t="s">
        <v>4</v>
      </c>
      <c r="B149" t="s">
        <v>15</v>
      </c>
      <c r="C149" t="s">
        <v>52</v>
      </c>
      <c r="D149" t="s">
        <v>65</v>
      </c>
      <c r="E149">
        <v>70.7</v>
      </c>
      <c r="F149">
        <v>65.2</v>
      </c>
      <c r="G149">
        <f t="shared" si="6"/>
        <v>5.5</v>
      </c>
      <c r="H149" t="str">
        <f t="shared" si="7"/>
        <v>FALSE</v>
      </c>
      <c r="I149" t="str">
        <f t="shared" si="8"/>
        <v>FALSE</v>
      </c>
    </row>
    <row r="150" spans="1:9" x14ac:dyDescent="0.2">
      <c r="A150" t="s">
        <v>4</v>
      </c>
      <c r="B150" t="s">
        <v>15</v>
      </c>
      <c r="C150" t="s">
        <v>53</v>
      </c>
      <c r="D150" t="s">
        <v>65</v>
      </c>
      <c r="E150">
        <v>79.8</v>
      </c>
      <c r="F150">
        <v>74.5</v>
      </c>
      <c r="G150">
        <f t="shared" si="6"/>
        <v>5.2999999999999972</v>
      </c>
      <c r="H150" t="str">
        <f t="shared" si="7"/>
        <v>FALSE</v>
      </c>
      <c r="I150" t="str">
        <f t="shared" si="8"/>
        <v>FALSE</v>
      </c>
    </row>
    <row r="151" spans="1:9" x14ac:dyDescent="0.2">
      <c r="A151" t="s">
        <v>4</v>
      </c>
      <c r="B151" t="s">
        <v>15</v>
      </c>
      <c r="C151" t="s">
        <v>54</v>
      </c>
      <c r="D151" t="s">
        <v>65</v>
      </c>
      <c r="E151">
        <v>63.7</v>
      </c>
      <c r="F151">
        <v>63.1</v>
      </c>
      <c r="G151">
        <f t="shared" si="6"/>
        <v>0.60000000000000142</v>
      </c>
      <c r="H151" t="str">
        <f t="shared" si="7"/>
        <v>FALSE</v>
      </c>
      <c r="I151" t="str">
        <f t="shared" si="8"/>
        <v>FALSE</v>
      </c>
    </row>
    <row r="152" spans="1:9" x14ac:dyDescent="0.2">
      <c r="A152" t="s">
        <v>4</v>
      </c>
      <c r="B152" t="s">
        <v>15</v>
      </c>
      <c r="C152" t="s">
        <v>50</v>
      </c>
      <c r="D152" t="s">
        <v>66</v>
      </c>
      <c r="E152">
        <v>79.2</v>
      </c>
      <c r="F152">
        <v>75.099999999999994</v>
      </c>
      <c r="G152">
        <f t="shared" si="6"/>
        <v>4.1000000000000085</v>
      </c>
      <c r="H152" t="str">
        <f t="shared" si="7"/>
        <v>FALSE</v>
      </c>
      <c r="I152" t="str">
        <f t="shared" si="8"/>
        <v>FALSE</v>
      </c>
    </row>
    <row r="153" spans="1:9" x14ac:dyDescent="0.2">
      <c r="A153" t="s">
        <v>4</v>
      </c>
      <c r="B153" t="s">
        <v>15</v>
      </c>
      <c r="C153" t="s">
        <v>51</v>
      </c>
      <c r="D153" t="s">
        <v>66</v>
      </c>
      <c r="E153">
        <v>73</v>
      </c>
      <c r="F153">
        <v>70.2</v>
      </c>
      <c r="G153">
        <f t="shared" si="6"/>
        <v>2.7999999999999972</v>
      </c>
      <c r="H153" t="str">
        <f t="shared" si="7"/>
        <v>FALSE</v>
      </c>
      <c r="I153" t="str">
        <f t="shared" si="8"/>
        <v>FALSE</v>
      </c>
    </row>
    <row r="154" spans="1:9" x14ac:dyDescent="0.2">
      <c r="A154" t="s">
        <v>4</v>
      </c>
      <c r="B154" t="s">
        <v>15</v>
      </c>
      <c r="C154" t="s">
        <v>52</v>
      </c>
      <c r="D154" t="s">
        <v>66</v>
      </c>
      <c r="E154">
        <v>68.900000000000006</v>
      </c>
      <c r="F154">
        <v>63.9</v>
      </c>
      <c r="G154">
        <f t="shared" si="6"/>
        <v>5.0000000000000071</v>
      </c>
      <c r="H154" t="str">
        <f t="shared" si="7"/>
        <v>FALSE</v>
      </c>
      <c r="I154" t="str">
        <f t="shared" si="8"/>
        <v>FALSE</v>
      </c>
    </row>
    <row r="155" spans="1:9" x14ac:dyDescent="0.2">
      <c r="A155" t="s">
        <v>4</v>
      </c>
      <c r="B155" t="s">
        <v>15</v>
      </c>
      <c r="C155" t="s">
        <v>53</v>
      </c>
      <c r="D155" t="s">
        <v>66</v>
      </c>
      <c r="E155">
        <v>79.400000000000006</v>
      </c>
      <c r="F155">
        <v>77.2</v>
      </c>
      <c r="G155">
        <f t="shared" si="6"/>
        <v>2.2000000000000028</v>
      </c>
      <c r="H155" t="str">
        <f t="shared" si="7"/>
        <v>FALSE</v>
      </c>
      <c r="I155" t="str">
        <f t="shared" si="8"/>
        <v>FALSE</v>
      </c>
    </row>
    <row r="156" spans="1:9" x14ac:dyDescent="0.2">
      <c r="A156" t="s">
        <v>4</v>
      </c>
      <c r="B156" t="s">
        <v>15</v>
      </c>
      <c r="C156" t="s">
        <v>54</v>
      </c>
      <c r="D156" t="s">
        <v>66</v>
      </c>
      <c r="E156">
        <v>65.900000000000006</v>
      </c>
      <c r="F156">
        <v>63.1</v>
      </c>
      <c r="G156">
        <f t="shared" si="6"/>
        <v>2.8000000000000043</v>
      </c>
      <c r="H156" t="str">
        <f t="shared" si="7"/>
        <v>FALSE</v>
      </c>
      <c r="I156" t="str">
        <f t="shared" si="8"/>
        <v>FALSE</v>
      </c>
    </row>
    <row r="157" spans="1:9" x14ac:dyDescent="0.2">
      <c r="A157" t="s">
        <v>4</v>
      </c>
      <c r="B157" t="s">
        <v>15</v>
      </c>
      <c r="C157" t="s">
        <v>50</v>
      </c>
      <c r="D157" t="s">
        <v>67</v>
      </c>
      <c r="E157">
        <v>79.2</v>
      </c>
      <c r="F157">
        <v>74.099999999999994</v>
      </c>
      <c r="G157">
        <f t="shared" si="6"/>
        <v>5.1000000000000085</v>
      </c>
      <c r="H157" t="str">
        <f t="shared" si="7"/>
        <v>FALSE</v>
      </c>
      <c r="I157" t="str">
        <f t="shared" si="8"/>
        <v>FALSE</v>
      </c>
    </row>
    <row r="158" spans="1:9" x14ac:dyDescent="0.2">
      <c r="A158" t="s">
        <v>4</v>
      </c>
      <c r="B158" t="s">
        <v>15</v>
      </c>
      <c r="C158" t="s">
        <v>51</v>
      </c>
      <c r="D158" t="s">
        <v>67</v>
      </c>
      <c r="E158">
        <v>71.2</v>
      </c>
      <c r="F158">
        <v>68.8</v>
      </c>
      <c r="G158">
        <f t="shared" si="6"/>
        <v>2.4000000000000057</v>
      </c>
      <c r="H158" t="str">
        <f t="shared" si="7"/>
        <v>FALSE</v>
      </c>
      <c r="I158" t="str">
        <f t="shared" si="8"/>
        <v>FALSE</v>
      </c>
    </row>
    <row r="159" spans="1:9" x14ac:dyDescent="0.2">
      <c r="A159" t="s">
        <v>4</v>
      </c>
      <c r="B159" t="s">
        <v>15</v>
      </c>
      <c r="C159" t="s">
        <v>52</v>
      </c>
      <c r="D159" t="s">
        <v>67</v>
      </c>
      <c r="E159">
        <v>70.8</v>
      </c>
      <c r="F159">
        <v>66.2</v>
      </c>
      <c r="G159">
        <f t="shared" si="6"/>
        <v>4.5999999999999943</v>
      </c>
      <c r="H159" t="str">
        <f t="shared" si="7"/>
        <v>FALSE</v>
      </c>
      <c r="I159" t="str">
        <f t="shared" si="8"/>
        <v>FALSE</v>
      </c>
    </row>
    <row r="160" spans="1:9" x14ac:dyDescent="0.2">
      <c r="A160" t="s">
        <v>4</v>
      </c>
      <c r="B160" t="s">
        <v>15</v>
      </c>
      <c r="C160" t="s">
        <v>53</v>
      </c>
      <c r="D160" t="s">
        <v>67</v>
      </c>
      <c r="E160">
        <v>79.7</v>
      </c>
      <c r="F160">
        <v>76.400000000000006</v>
      </c>
      <c r="G160">
        <f t="shared" si="6"/>
        <v>3.2999999999999972</v>
      </c>
      <c r="H160" t="str">
        <f t="shared" si="7"/>
        <v>FALSE</v>
      </c>
      <c r="I160" t="str">
        <f t="shared" si="8"/>
        <v>FALSE</v>
      </c>
    </row>
    <row r="161" spans="1:9" x14ac:dyDescent="0.2">
      <c r="A161" t="s">
        <v>4</v>
      </c>
      <c r="B161" t="s">
        <v>15</v>
      </c>
      <c r="C161" t="s">
        <v>54</v>
      </c>
      <c r="D161" t="s">
        <v>67</v>
      </c>
      <c r="E161">
        <v>64</v>
      </c>
      <c r="F161">
        <v>63.3</v>
      </c>
      <c r="G161">
        <f t="shared" si="6"/>
        <v>0.70000000000000284</v>
      </c>
      <c r="H161" t="str">
        <f t="shared" si="7"/>
        <v>FALSE</v>
      </c>
      <c r="I161" t="str">
        <f t="shared" si="8"/>
        <v>FALSE</v>
      </c>
    </row>
    <row r="162" spans="1:9" x14ac:dyDescent="0.2">
      <c r="A162" t="s">
        <v>4</v>
      </c>
      <c r="B162" t="s">
        <v>15</v>
      </c>
      <c r="C162" t="s">
        <v>50</v>
      </c>
      <c r="D162" t="s">
        <v>68</v>
      </c>
      <c r="E162">
        <v>79.099999999999994</v>
      </c>
      <c r="F162">
        <v>76.400000000000006</v>
      </c>
      <c r="G162">
        <f t="shared" si="6"/>
        <v>2.6999999999999886</v>
      </c>
      <c r="H162" t="str">
        <f t="shared" si="7"/>
        <v>FALSE</v>
      </c>
      <c r="I162" t="str">
        <f t="shared" si="8"/>
        <v>FALSE</v>
      </c>
    </row>
    <row r="163" spans="1:9" x14ac:dyDescent="0.2">
      <c r="A163" t="s">
        <v>4</v>
      </c>
      <c r="B163" t="s">
        <v>15</v>
      </c>
      <c r="C163" t="s">
        <v>51</v>
      </c>
      <c r="D163" t="s">
        <v>68</v>
      </c>
      <c r="E163">
        <v>72.900000000000006</v>
      </c>
      <c r="F163">
        <v>71.099999999999994</v>
      </c>
      <c r="G163">
        <f t="shared" si="6"/>
        <v>1.8000000000000114</v>
      </c>
      <c r="H163" t="str">
        <f t="shared" si="7"/>
        <v>FALSE</v>
      </c>
      <c r="I163" t="str">
        <f t="shared" si="8"/>
        <v>FALSE</v>
      </c>
    </row>
    <row r="164" spans="1:9" x14ac:dyDescent="0.2">
      <c r="A164" t="s">
        <v>4</v>
      </c>
      <c r="B164" t="s">
        <v>15</v>
      </c>
      <c r="C164" t="s">
        <v>52</v>
      </c>
      <c r="D164" t="s">
        <v>68</v>
      </c>
      <c r="E164">
        <v>68.599999999999994</v>
      </c>
      <c r="F164">
        <v>65.7</v>
      </c>
      <c r="G164">
        <f t="shared" si="6"/>
        <v>2.8999999999999915</v>
      </c>
      <c r="H164" t="str">
        <f t="shared" si="7"/>
        <v>FALSE</v>
      </c>
      <c r="I164" t="str">
        <f t="shared" si="8"/>
        <v>FALSE</v>
      </c>
    </row>
    <row r="165" spans="1:9" x14ac:dyDescent="0.2">
      <c r="A165" t="s">
        <v>4</v>
      </c>
      <c r="B165" t="s">
        <v>15</v>
      </c>
      <c r="C165" t="s">
        <v>53</v>
      </c>
      <c r="D165" t="s">
        <v>68</v>
      </c>
      <c r="E165">
        <v>79.5</v>
      </c>
      <c r="F165">
        <v>77.3</v>
      </c>
      <c r="G165">
        <f t="shared" si="6"/>
        <v>2.2000000000000028</v>
      </c>
      <c r="H165" t="str">
        <f t="shared" si="7"/>
        <v>FALSE</v>
      </c>
      <c r="I165" t="str">
        <f t="shared" si="8"/>
        <v>FALSE</v>
      </c>
    </row>
    <row r="166" spans="1:9" x14ac:dyDescent="0.2">
      <c r="A166" t="s">
        <v>4</v>
      </c>
      <c r="B166" t="s">
        <v>15</v>
      </c>
      <c r="C166" t="s">
        <v>54</v>
      </c>
      <c r="D166" t="s">
        <v>68</v>
      </c>
      <c r="E166">
        <v>65.900000000000006</v>
      </c>
      <c r="F166">
        <v>63.1</v>
      </c>
      <c r="G166">
        <f t="shared" si="6"/>
        <v>2.8000000000000043</v>
      </c>
      <c r="H166" t="str">
        <f t="shared" si="7"/>
        <v>FALSE</v>
      </c>
      <c r="I166" t="str">
        <f t="shared" si="8"/>
        <v>FALSE</v>
      </c>
    </row>
    <row r="167" spans="1:9" x14ac:dyDescent="0.2">
      <c r="A167" t="s">
        <v>4</v>
      </c>
      <c r="B167" t="s">
        <v>15</v>
      </c>
      <c r="C167" t="s">
        <v>50</v>
      </c>
      <c r="D167" t="s">
        <v>69</v>
      </c>
      <c r="E167">
        <v>78.900000000000006</v>
      </c>
      <c r="F167">
        <v>74.3</v>
      </c>
      <c r="G167">
        <f t="shared" si="6"/>
        <v>4.6000000000000085</v>
      </c>
      <c r="H167" t="str">
        <f t="shared" si="7"/>
        <v>FALSE</v>
      </c>
      <c r="I167" t="str">
        <f t="shared" si="8"/>
        <v>FALSE</v>
      </c>
    </row>
    <row r="168" spans="1:9" x14ac:dyDescent="0.2">
      <c r="A168" t="s">
        <v>4</v>
      </c>
      <c r="B168" t="s">
        <v>15</v>
      </c>
      <c r="C168" t="s">
        <v>51</v>
      </c>
      <c r="D168" t="s">
        <v>69</v>
      </c>
      <c r="E168">
        <v>72.900000000000006</v>
      </c>
      <c r="F168">
        <v>68.8</v>
      </c>
      <c r="G168">
        <f t="shared" si="6"/>
        <v>4.1000000000000085</v>
      </c>
      <c r="H168" t="str">
        <f t="shared" si="7"/>
        <v>FALSE</v>
      </c>
      <c r="I168" t="str">
        <f t="shared" si="8"/>
        <v>FALSE</v>
      </c>
    </row>
    <row r="169" spans="1:9" x14ac:dyDescent="0.2">
      <c r="A169" t="s">
        <v>4</v>
      </c>
      <c r="B169" t="s">
        <v>15</v>
      </c>
      <c r="C169" t="s">
        <v>52</v>
      </c>
      <c r="D169" t="s">
        <v>69</v>
      </c>
      <c r="E169">
        <v>71.099999999999994</v>
      </c>
      <c r="F169">
        <v>66.099999999999994</v>
      </c>
      <c r="G169">
        <f t="shared" si="6"/>
        <v>5</v>
      </c>
      <c r="H169" t="str">
        <f t="shared" si="7"/>
        <v>FALSE</v>
      </c>
      <c r="I169" t="str">
        <f t="shared" si="8"/>
        <v>FALSE</v>
      </c>
    </row>
    <row r="170" spans="1:9" x14ac:dyDescent="0.2">
      <c r="A170" t="s">
        <v>4</v>
      </c>
      <c r="B170" t="s">
        <v>15</v>
      </c>
      <c r="C170" t="s">
        <v>53</v>
      </c>
      <c r="D170" t="s">
        <v>69</v>
      </c>
      <c r="E170">
        <v>79.2</v>
      </c>
      <c r="F170">
        <v>76.900000000000006</v>
      </c>
      <c r="G170">
        <f t="shared" si="6"/>
        <v>2.2999999999999972</v>
      </c>
      <c r="H170" t="str">
        <f t="shared" si="7"/>
        <v>FALSE</v>
      </c>
      <c r="I170" t="str">
        <f t="shared" si="8"/>
        <v>FALSE</v>
      </c>
    </row>
    <row r="171" spans="1:9" x14ac:dyDescent="0.2">
      <c r="A171" t="s">
        <v>4</v>
      </c>
      <c r="B171" t="s">
        <v>15</v>
      </c>
      <c r="C171" t="s">
        <v>54</v>
      </c>
      <c r="D171" t="s">
        <v>69</v>
      </c>
      <c r="E171">
        <v>64.900000000000006</v>
      </c>
      <c r="F171">
        <v>61.4</v>
      </c>
      <c r="G171">
        <f t="shared" si="6"/>
        <v>3.5000000000000071</v>
      </c>
      <c r="H171" t="str">
        <f t="shared" si="7"/>
        <v>FALSE</v>
      </c>
      <c r="I171" t="str">
        <f t="shared" si="8"/>
        <v>FALSE</v>
      </c>
    </row>
    <row r="172" spans="1:9" x14ac:dyDescent="0.2">
      <c r="A172" t="s">
        <v>4</v>
      </c>
      <c r="B172" t="s">
        <v>15</v>
      </c>
      <c r="C172" t="s">
        <v>50</v>
      </c>
      <c r="D172" t="s">
        <v>70</v>
      </c>
      <c r="E172">
        <v>78.900000000000006</v>
      </c>
      <c r="F172">
        <v>74.2</v>
      </c>
      <c r="G172">
        <f t="shared" si="6"/>
        <v>4.7000000000000028</v>
      </c>
      <c r="H172" t="str">
        <f t="shared" si="7"/>
        <v>FALSE</v>
      </c>
      <c r="I172" t="str">
        <f t="shared" si="8"/>
        <v>FALSE</v>
      </c>
    </row>
    <row r="173" spans="1:9" x14ac:dyDescent="0.2">
      <c r="A173" t="s">
        <v>4</v>
      </c>
      <c r="B173" t="s">
        <v>15</v>
      </c>
      <c r="C173" t="s">
        <v>51</v>
      </c>
      <c r="D173" t="s">
        <v>70</v>
      </c>
      <c r="E173">
        <v>70.599999999999994</v>
      </c>
      <c r="F173">
        <v>69.099999999999994</v>
      </c>
      <c r="G173">
        <f t="shared" si="6"/>
        <v>1.5</v>
      </c>
      <c r="H173" t="str">
        <f t="shared" si="7"/>
        <v>FALSE</v>
      </c>
      <c r="I173" t="str">
        <f t="shared" si="8"/>
        <v>FALSE</v>
      </c>
    </row>
    <row r="174" spans="1:9" x14ac:dyDescent="0.2">
      <c r="A174" t="s">
        <v>4</v>
      </c>
      <c r="B174" t="s">
        <v>15</v>
      </c>
      <c r="C174" t="s">
        <v>52</v>
      </c>
      <c r="D174" t="s">
        <v>70</v>
      </c>
      <c r="E174">
        <v>69.5</v>
      </c>
      <c r="F174">
        <v>66.099999999999994</v>
      </c>
      <c r="G174">
        <f t="shared" si="6"/>
        <v>3.4000000000000057</v>
      </c>
      <c r="H174" t="str">
        <f t="shared" si="7"/>
        <v>FALSE</v>
      </c>
      <c r="I174" t="str">
        <f t="shared" si="8"/>
        <v>FALSE</v>
      </c>
    </row>
    <row r="175" spans="1:9" x14ac:dyDescent="0.2">
      <c r="A175" t="s">
        <v>4</v>
      </c>
      <c r="B175" t="s">
        <v>15</v>
      </c>
      <c r="C175" t="s">
        <v>53</v>
      </c>
      <c r="D175" t="s">
        <v>70</v>
      </c>
      <c r="E175">
        <v>81.400000000000006</v>
      </c>
      <c r="F175">
        <v>75.3</v>
      </c>
      <c r="G175">
        <f t="shared" si="6"/>
        <v>6.1000000000000085</v>
      </c>
      <c r="H175" t="str">
        <f t="shared" si="7"/>
        <v>FALSE</v>
      </c>
      <c r="I175" t="str">
        <f t="shared" si="8"/>
        <v>FALSE</v>
      </c>
    </row>
    <row r="176" spans="1:9" x14ac:dyDescent="0.2">
      <c r="A176" t="s">
        <v>4</v>
      </c>
      <c r="B176" t="s">
        <v>15</v>
      </c>
      <c r="C176" t="s">
        <v>54</v>
      </c>
      <c r="D176" t="s">
        <v>70</v>
      </c>
      <c r="E176">
        <v>65.400000000000006</v>
      </c>
      <c r="F176">
        <v>61.7</v>
      </c>
      <c r="G176">
        <f t="shared" si="6"/>
        <v>3.7000000000000028</v>
      </c>
      <c r="H176" t="str">
        <f t="shared" si="7"/>
        <v>FALSE</v>
      </c>
      <c r="I176" t="str">
        <f t="shared" si="8"/>
        <v>FALSE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0F5C-B3DD-5D40-85F6-C71853FCBA20}">
  <dimension ref="A1:D36"/>
  <sheetViews>
    <sheetView workbookViewId="0">
      <selection activeCell="D1" sqref="D1"/>
    </sheetView>
  </sheetViews>
  <sheetFormatPr baseColWidth="10" defaultRowHeight="15" x14ac:dyDescent="0.2"/>
  <cols>
    <col min="1" max="1" width="17" customWidth="1"/>
    <col min="2" max="2" width="11" customWidth="1"/>
    <col min="3" max="3" width="13" customWidth="1"/>
    <col min="4" max="4" width="12.5" customWidth="1"/>
  </cols>
  <sheetData>
    <row r="1" spans="1:4" x14ac:dyDescent="0.2">
      <c r="A1" t="s">
        <v>237</v>
      </c>
      <c r="B1" t="s">
        <v>238</v>
      </c>
      <c r="C1" t="s">
        <v>63</v>
      </c>
      <c r="D1" t="s">
        <v>298</v>
      </c>
    </row>
    <row r="2" spans="1:4" x14ac:dyDescent="0.2">
      <c r="A2" t="s">
        <v>0</v>
      </c>
      <c r="B2" t="s">
        <v>15</v>
      </c>
      <c r="C2" t="s">
        <v>64</v>
      </c>
      <c r="D2">
        <v>5.8</v>
      </c>
    </row>
    <row r="3" spans="1:4" x14ac:dyDescent="0.2">
      <c r="A3" t="s">
        <v>0</v>
      </c>
      <c r="B3" t="s">
        <v>15</v>
      </c>
      <c r="C3" t="s">
        <v>65</v>
      </c>
      <c r="D3">
        <v>3.2</v>
      </c>
    </row>
    <row r="4" spans="1:4" x14ac:dyDescent="0.2">
      <c r="A4" t="s">
        <v>0</v>
      </c>
      <c r="B4" t="s">
        <v>15</v>
      </c>
      <c r="C4" t="s">
        <v>66</v>
      </c>
      <c r="D4">
        <v>4.3</v>
      </c>
    </row>
    <row r="5" spans="1:4" x14ac:dyDescent="0.2">
      <c r="A5" t="s">
        <v>0</v>
      </c>
      <c r="B5" t="s">
        <v>15</v>
      </c>
      <c r="C5" t="s">
        <v>67</v>
      </c>
      <c r="D5">
        <v>4.2</v>
      </c>
    </row>
    <row r="6" spans="1:4" x14ac:dyDescent="0.2">
      <c r="A6" t="s">
        <v>0</v>
      </c>
      <c r="B6" t="s">
        <v>15</v>
      </c>
      <c r="C6" t="s">
        <v>68</v>
      </c>
      <c r="D6">
        <v>6</v>
      </c>
    </row>
    <row r="7" spans="1:4" x14ac:dyDescent="0.2">
      <c r="A7" t="s">
        <v>0</v>
      </c>
      <c r="B7" t="s">
        <v>15</v>
      </c>
      <c r="C7" t="s">
        <v>69</v>
      </c>
      <c r="D7">
        <v>4.5</v>
      </c>
    </row>
    <row r="8" spans="1:4" x14ac:dyDescent="0.2">
      <c r="A8" t="s">
        <v>0</v>
      </c>
      <c r="B8" t="s">
        <v>15</v>
      </c>
      <c r="C8" t="s">
        <v>70</v>
      </c>
      <c r="D8">
        <v>5.0999999999999996</v>
      </c>
    </row>
    <row r="9" spans="1:4" x14ac:dyDescent="0.2">
      <c r="A9" t="s">
        <v>1</v>
      </c>
      <c r="B9" t="s">
        <v>15</v>
      </c>
      <c r="C9" t="s">
        <v>64</v>
      </c>
      <c r="D9">
        <v>2.8</v>
      </c>
    </row>
    <row r="10" spans="1:4" x14ac:dyDescent="0.2">
      <c r="A10" t="s">
        <v>1</v>
      </c>
      <c r="B10" t="s">
        <v>15</v>
      </c>
      <c r="C10" t="s">
        <v>65</v>
      </c>
      <c r="D10">
        <v>5.9</v>
      </c>
    </row>
    <row r="11" spans="1:4" x14ac:dyDescent="0.2">
      <c r="A11" t="s">
        <v>1</v>
      </c>
      <c r="B11" t="s">
        <v>15</v>
      </c>
      <c r="C11" t="s">
        <v>66</v>
      </c>
      <c r="D11">
        <v>3.4</v>
      </c>
    </row>
    <row r="12" spans="1:4" x14ac:dyDescent="0.2">
      <c r="A12" t="s">
        <v>1</v>
      </c>
      <c r="B12" t="s">
        <v>15</v>
      </c>
      <c r="C12" t="s">
        <v>67</v>
      </c>
      <c r="D12">
        <v>2.8</v>
      </c>
    </row>
    <row r="13" spans="1:4" x14ac:dyDescent="0.2">
      <c r="A13" t="s">
        <v>1</v>
      </c>
      <c r="B13" t="s">
        <v>15</v>
      </c>
      <c r="C13" t="s">
        <v>68</v>
      </c>
      <c r="D13">
        <v>6.8</v>
      </c>
    </row>
    <row r="14" spans="1:4" x14ac:dyDescent="0.2">
      <c r="A14" t="s">
        <v>1</v>
      </c>
      <c r="B14" t="s">
        <v>15</v>
      </c>
      <c r="C14" t="s">
        <v>69</v>
      </c>
      <c r="D14">
        <v>5.7</v>
      </c>
    </row>
    <row r="15" spans="1:4" x14ac:dyDescent="0.2">
      <c r="A15" t="s">
        <v>1</v>
      </c>
      <c r="B15" t="s">
        <v>15</v>
      </c>
      <c r="C15" t="s">
        <v>70</v>
      </c>
      <c r="D15">
        <v>5.7</v>
      </c>
    </row>
    <row r="16" spans="1:4" x14ac:dyDescent="0.2">
      <c r="A16" t="s">
        <v>2</v>
      </c>
      <c r="B16" t="s">
        <v>15</v>
      </c>
      <c r="C16" t="s">
        <v>64</v>
      </c>
      <c r="D16">
        <v>1.8</v>
      </c>
    </row>
    <row r="17" spans="1:4" x14ac:dyDescent="0.2">
      <c r="A17" t="s">
        <v>2</v>
      </c>
      <c r="B17" t="s">
        <v>15</v>
      </c>
      <c r="C17" t="s">
        <v>65</v>
      </c>
      <c r="D17">
        <v>3.1</v>
      </c>
    </row>
    <row r="18" spans="1:4" x14ac:dyDescent="0.2">
      <c r="A18" t="s">
        <v>2</v>
      </c>
      <c r="B18" t="s">
        <v>15</v>
      </c>
      <c r="C18" t="s">
        <v>66</v>
      </c>
      <c r="D18">
        <v>0.3</v>
      </c>
    </row>
    <row r="19" spans="1:4" x14ac:dyDescent="0.2">
      <c r="A19" t="s">
        <v>2</v>
      </c>
      <c r="B19" t="s">
        <v>15</v>
      </c>
      <c r="C19" t="s">
        <v>67</v>
      </c>
      <c r="D19">
        <v>3.1</v>
      </c>
    </row>
    <row r="20" spans="1:4" x14ac:dyDescent="0.2">
      <c r="A20" t="s">
        <v>2</v>
      </c>
      <c r="B20" t="s">
        <v>15</v>
      </c>
      <c r="C20" t="s">
        <v>68</v>
      </c>
      <c r="D20">
        <v>2.2000000000000002</v>
      </c>
    </row>
    <row r="21" spans="1:4" x14ac:dyDescent="0.2">
      <c r="A21" t="s">
        <v>2</v>
      </c>
      <c r="B21" t="s">
        <v>15</v>
      </c>
      <c r="C21" t="s">
        <v>69</v>
      </c>
      <c r="D21">
        <v>2.5</v>
      </c>
    </row>
    <row r="22" spans="1:4" x14ac:dyDescent="0.2">
      <c r="A22" t="s">
        <v>2</v>
      </c>
      <c r="B22" t="s">
        <v>15</v>
      </c>
      <c r="C22" t="s">
        <v>70</v>
      </c>
      <c r="D22">
        <v>2.1</v>
      </c>
    </row>
    <row r="23" spans="1:4" x14ac:dyDescent="0.2">
      <c r="A23" t="s">
        <v>3</v>
      </c>
      <c r="B23" t="s">
        <v>15</v>
      </c>
      <c r="C23" t="s">
        <v>64</v>
      </c>
      <c r="D23">
        <v>-3.6</v>
      </c>
    </row>
    <row r="24" spans="1:4" x14ac:dyDescent="0.2">
      <c r="A24" t="s">
        <v>3</v>
      </c>
      <c r="B24" t="s">
        <v>15</v>
      </c>
      <c r="C24" t="s">
        <v>65</v>
      </c>
      <c r="D24">
        <v>-0.8</v>
      </c>
    </row>
    <row r="25" spans="1:4" x14ac:dyDescent="0.2">
      <c r="A25" t="s">
        <v>3</v>
      </c>
      <c r="B25" t="s">
        <v>15</v>
      </c>
      <c r="C25" t="s">
        <v>66</v>
      </c>
      <c r="D25">
        <v>-2.4</v>
      </c>
    </row>
    <row r="26" spans="1:4" x14ac:dyDescent="0.2">
      <c r="A26" t="s">
        <v>3</v>
      </c>
      <c r="B26" t="s">
        <v>15</v>
      </c>
      <c r="C26" t="s">
        <v>67</v>
      </c>
      <c r="D26">
        <v>-2.5</v>
      </c>
    </row>
    <row r="27" spans="1:4" x14ac:dyDescent="0.2">
      <c r="A27" t="s">
        <v>3</v>
      </c>
      <c r="B27" t="s">
        <v>15</v>
      </c>
      <c r="C27" t="s">
        <v>68</v>
      </c>
      <c r="D27">
        <v>-3.4</v>
      </c>
    </row>
    <row r="28" spans="1:4" x14ac:dyDescent="0.2">
      <c r="A28" t="s">
        <v>3</v>
      </c>
      <c r="B28" t="s">
        <v>15</v>
      </c>
      <c r="C28" t="s">
        <v>69</v>
      </c>
      <c r="D28">
        <v>-2</v>
      </c>
    </row>
    <row r="29" spans="1:4" x14ac:dyDescent="0.2">
      <c r="A29" t="s">
        <v>3</v>
      </c>
      <c r="B29" t="s">
        <v>15</v>
      </c>
      <c r="C29" t="s">
        <v>70</v>
      </c>
      <c r="D29">
        <v>-0.4</v>
      </c>
    </row>
    <row r="30" spans="1:4" x14ac:dyDescent="0.2">
      <c r="A30" t="s">
        <v>4</v>
      </c>
      <c r="B30" t="s">
        <v>15</v>
      </c>
      <c r="C30" t="s">
        <v>64</v>
      </c>
      <c r="D30">
        <v>4.5999999999999996</v>
      </c>
    </row>
    <row r="31" spans="1:4" x14ac:dyDescent="0.2">
      <c r="A31" t="s">
        <v>4</v>
      </c>
      <c r="B31" t="s">
        <v>15</v>
      </c>
      <c r="C31" t="s">
        <v>65</v>
      </c>
      <c r="D31">
        <v>0.7</v>
      </c>
    </row>
    <row r="32" spans="1:4" x14ac:dyDescent="0.2">
      <c r="A32" t="s">
        <v>4</v>
      </c>
      <c r="B32" t="s">
        <v>15</v>
      </c>
      <c r="C32" t="s">
        <v>66</v>
      </c>
      <c r="D32">
        <v>4.0999999999999996</v>
      </c>
    </row>
    <row r="33" spans="1:4" x14ac:dyDescent="0.2">
      <c r="A33" t="s">
        <v>4</v>
      </c>
      <c r="B33" t="s">
        <v>15</v>
      </c>
      <c r="C33" t="s">
        <v>67</v>
      </c>
      <c r="D33">
        <v>5.0999999999999996</v>
      </c>
    </row>
    <row r="34" spans="1:4" x14ac:dyDescent="0.2">
      <c r="A34" t="s">
        <v>4</v>
      </c>
      <c r="B34" t="s">
        <v>15</v>
      </c>
      <c r="C34" t="s">
        <v>68</v>
      </c>
      <c r="D34">
        <v>2.7</v>
      </c>
    </row>
    <row r="35" spans="1:4" x14ac:dyDescent="0.2">
      <c r="A35" t="s">
        <v>4</v>
      </c>
      <c r="B35" t="s">
        <v>15</v>
      </c>
      <c r="C35" t="s">
        <v>69</v>
      </c>
      <c r="D35">
        <v>4.5999999999999996</v>
      </c>
    </row>
    <row r="36" spans="1:4" x14ac:dyDescent="0.2">
      <c r="A36" t="s">
        <v>4</v>
      </c>
      <c r="B36" t="s">
        <v>15</v>
      </c>
      <c r="C36" t="s">
        <v>70</v>
      </c>
      <c r="D36">
        <v>4.7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B241E"/>
  </sheetPr>
  <dimension ref="A1:F281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22" customWidth="1"/>
    <col min="4" max="4" width="13" customWidth="1"/>
    <col min="5" max="5" width="10" customWidth="1"/>
  </cols>
  <sheetData>
    <row r="1" spans="1:6" x14ac:dyDescent="0.2">
      <c r="A1" t="s">
        <v>237</v>
      </c>
      <c r="B1" t="s">
        <v>238</v>
      </c>
      <c r="C1" t="s">
        <v>317</v>
      </c>
      <c r="D1" t="s">
        <v>63</v>
      </c>
      <c r="E1" t="s">
        <v>302</v>
      </c>
      <c r="F1" t="s">
        <v>303</v>
      </c>
    </row>
    <row r="2" spans="1:6" x14ac:dyDescent="0.2">
      <c r="A2" t="s">
        <v>0</v>
      </c>
      <c r="B2" t="s">
        <v>15</v>
      </c>
      <c r="C2" t="s">
        <v>55</v>
      </c>
      <c r="D2" t="s">
        <v>64</v>
      </c>
      <c r="E2">
        <v>81.400000000000006</v>
      </c>
      <c r="F2" t="s">
        <v>189</v>
      </c>
    </row>
    <row r="3" spans="1:6" x14ac:dyDescent="0.2">
      <c r="A3" t="s">
        <v>1</v>
      </c>
      <c r="B3" t="s">
        <v>15</v>
      </c>
      <c r="C3" t="s">
        <v>55</v>
      </c>
      <c r="D3" t="s">
        <v>64</v>
      </c>
      <c r="E3">
        <v>75.2</v>
      </c>
      <c r="F3" t="s">
        <v>189</v>
      </c>
    </row>
    <row r="4" spans="1:6" x14ac:dyDescent="0.2">
      <c r="A4" t="s">
        <v>2</v>
      </c>
      <c r="B4" t="s">
        <v>15</v>
      </c>
      <c r="C4" t="s">
        <v>55</v>
      </c>
      <c r="D4" t="s">
        <v>64</v>
      </c>
      <c r="E4">
        <v>79.3</v>
      </c>
      <c r="F4" t="s">
        <v>189</v>
      </c>
    </row>
    <row r="5" spans="1:6" x14ac:dyDescent="0.2">
      <c r="A5" t="s">
        <v>3</v>
      </c>
      <c r="B5" t="s">
        <v>15</v>
      </c>
      <c r="C5" t="s">
        <v>55</v>
      </c>
      <c r="D5" t="s">
        <v>64</v>
      </c>
      <c r="E5">
        <v>73.599999999999994</v>
      </c>
      <c r="F5" t="s">
        <v>189</v>
      </c>
    </row>
    <row r="6" spans="1:6" x14ac:dyDescent="0.2">
      <c r="A6" t="s">
        <v>4</v>
      </c>
      <c r="B6" t="s">
        <v>15</v>
      </c>
      <c r="C6" t="s">
        <v>55</v>
      </c>
      <c r="D6" t="s">
        <v>64</v>
      </c>
      <c r="E6">
        <v>69.8</v>
      </c>
      <c r="F6" t="s">
        <v>189</v>
      </c>
    </row>
    <row r="7" spans="1:6" x14ac:dyDescent="0.2">
      <c r="A7" t="s">
        <v>0</v>
      </c>
      <c r="B7" t="s">
        <v>15</v>
      </c>
      <c r="C7" t="s">
        <v>56</v>
      </c>
      <c r="D7" t="s">
        <v>64</v>
      </c>
      <c r="E7">
        <v>76.2</v>
      </c>
      <c r="F7" t="s">
        <v>189</v>
      </c>
    </row>
    <row r="8" spans="1:6" x14ac:dyDescent="0.2">
      <c r="A8" t="s">
        <v>1</v>
      </c>
      <c r="B8" t="s">
        <v>15</v>
      </c>
      <c r="C8" t="s">
        <v>56</v>
      </c>
      <c r="D8" t="s">
        <v>64</v>
      </c>
      <c r="E8">
        <v>72.599999999999994</v>
      </c>
      <c r="F8" t="s">
        <v>189</v>
      </c>
    </row>
    <row r="9" spans="1:6" x14ac:dyDescent="0.2">
      <c r="A9" t="s">
        <v>2</v>
      </c>
      <c r="B9" t="s">
        <v>15</v>
      </c>
      <c r="C9" t="s">
        <v>56</v>
      </c>
      <c r="D9" t="s">
        <v>64</v>
      </c>
      <c r="E9">
        <v>89.1</v>
      </c>
      <c r="F9" t="s">
        <v>190</v>
      </c>
    </row>
    <row r="10" spans="1:6" x14ac:dyDescent="0.2">
      <c r="A10" t="s">
        <v>3</v>
      </c>
      <c r="B10" t="s">
        <v>15</v>
      </c>
      <c r="C10" t="s">
        <v>56</v>
      </c>
      <c r="D10" t="s">
        <v>64</v>
      </c>
      <c r="E10">
        <v>54.8</v>
      </c>
      <c r="F10" t="s">
        <v>189</v>
      </c>
    </row>
    <row r="11" spans="1:6" x14ac:dyDescent="0.2">
      <c r="A11" t="s">
        <v>4</v>
      </c>
      <c r="B11" t="s">
        <v>15</v>
      </c>
      <c r="C11" t="s">
        <v>56</v>
      </c>
      <c r="D11" t="s">
        <v>64</v>
      </c>
      <c r="E11">
        <v>64.400000000000006</v>
      </c>
      <c r="F11" t="s">
        <v>189</v>
      </c>
    </row>
    <row r="12" spans="1:6" x14ac:dyDescent="0.2">
      <c r="A12" t="s">
        <v>0</v>
      </c>
      <c r="B12" t="s">
        <v>15</v>
      </c>
      <c r="C12" t="s">
        <v>57</v>
      </c>
      <c r="D12" t="s">
        <v>64</v>
      </c>
      <c r="E12">
        <v>63.1</v>
      </c>
      <c r="F12" t="s">
        <v>189</v>
      </c>
    </row>
    <row r="13" spans="1:6" x14ac:dyDescent="0.2">
      <c r="A13" t="s">
        <v>1</v>
      </c>
      <c r="B13" t="s">
        <v>15</v>
      </c>
      <c r="C13" t="s">
        <v>57</v>
      </c>
      <c r="D13" t="s">
        <v>64</v>
      </c>
      <c r="E13">
        <v>71.900000000000006</v>
      </c>
      <c r="F13" t="s">
        <v>189</v>
      </c>
    </row>
    <row r="14" spans="1:6" x14ac:dyDescent="0.2">
      <c r="A14" t="s">
        <v>2</v>
      </c>
      <c r="B14" t="s">
        <v>15</v>
      </c>
      <c r="C14" t="s">
        <v>57</v>
      </c>
      <c r="D14" t="s">
        <v>64</v>
      </c>
      <c r="E14">
        <v>57.9</v>
      </c>
      <c r="F14" t="s">
        <v>189</v>
      </c>
    </row>
    <row r="15" spans="1:6" x14ac:dyDescent="0.2">
      <c r="A15" t="s">
        <v>3</v>
      </c>
      <c r="B15" t="s">
        <v>15</v>
      </c>
      <c r="C15" t="s">
        <v>57</v>
      </c>
      <c r="D15" t="s">
        <v>64</v>
      </c>
      <c r="E15">
        <v>69.400000000000006</v>
      </c>
      <c r="F15" t="s">
        <v>189</v>
      </c>
    </row>
    <row r="16" spans="1:6" x14ac:dyDescent="0.2">
      <c r="A16" t="s">
        <v>4</v>
      </c>
      <c r="B16" t="s">
        <v>15</v>
      </c>
      <c r="C16" t="s">
        <v>57</v>
      </c>
      <c r="D16" t="s">
        <v>64</v>
      </c>
      <c r="E16">
        <v>68.599999999999994</v>
      </c>
      <c r="F16" t="s">
        <v>189</v>
      </c>
    </row>
    <row r="17" spans="1:6" x14ac:dyDescent="0.2">
      <c r="A17" t="s">
        <v>0</v>
      </c>
      <c r="B17" t="s">
        <v>15</v>
      </c>
      <c r="C17" t="s">
        <v>58</v>
      </c>
      <c r="D17" t="s">
        <v>64</v>
      </c>
      <c r="E17">
        <v>73.5</v>
      </c>
      <c r="F17" t="s">
        <v>189</v>
      </c>
    </row>
    <row r="18" spans="1:6" x14ac:dyDescent="0.2">
      <c r="A18" t="s">
        <v>1</v>
      </c>
      <c r="B18" t="s">
        <v>15</v>
      </c>
      <c r="C18" t="s">
        <v>58</v>
      </c>
      <c r="D18" t="s">
        <v>64</v>
      </c>
      <c r="E18">
        <v>64.5</v>
      </c>
      <c r="F18" t="s">
        <v>189</v>
      </c>
    </row>
    <row r="19" spans="1:6" x14ac:dyDescent="0.2">
      <c r="A19" t="s">
        <v>2</v>
      </c>
      <c r="B19" t="s">
        <v>15</v>
      </c>
      <c r="C19" t="s">
        <v>58</v>
      </c>
      <c r="D19" t="s">
        <v>64</v>
      </c>
      <c r="E19">
        <v>69</v>
      </c>
      <c r="F19" t="s">
        <v>189</v>
      </c>
    </row>
    <row r="20" spans="1:6" x14ac:dyDescent="0.2">
      <c r="A20" t="s">
        <v>3</v>
      </c>
      <c r="B20" t="s">
        <v>15</v>
      </c>
      <c r="C20" t="s">
        <v>58</v>
      </c>
      <c r="D20" t="s">
        <v>64</v>
      </c>
      <c r="E20">
        <v>58.6</v>
      </c>
      <c r="F20" t="s">
        <v>189</v>
      </c>
    </row>
    <row r="21" spans="1:6" x14ac:dyDescent="0.2">
      <c r="A21" t="s">
        <v>4</v>
      </c>
      <c r="B21" t="s">
        <v>15</v>
      </c>
      <c r="C21" t="s">
        <v>58</v>
      </c>
      <c r="D21" t="s">
        <v>64</v>
      </c>
      <c r="E21">
        <v>60.9</v>
      </c>
      <c r="F21" t="s">
        <v>189</v>
      </c>
    </row>
    <row r="22" spans="1:6" x14ac:dyDescent="0.2">
      <c r="A22" t="s">
        <v>0</v>
      </c>
      <c r="B22" t="s">
        <v>15</v>
      </c>
      <c r="C22" t="s">
        <v>59</v>
      </c>
      <c r="D22" t="s">
        <v>64</v>
      </c>
      <c r="E22">
        <v>59.6</v>
      </c>
      <c r="F22" t="s">
        <v>189</v>
      </c>
    </row>
    <row r="23" spans="1:6" x14ac:dyDescent="0.2">
      <c r="A23" t="s">
        <v>1</v>
      </c>
      <c r="B23" t="s">
        <v>15</v>
      </c>
      <c r="C23" t="s">
        <v>59</v>
      </c>
      <c r="D23" t="s">
        <v>64</v>
      </c>
      <c r="E23">
        <v>62.7</v>
      </c>
      <c r="F23" t="s">
        <v>189</v>
      </c>
    </row>
    <row r="24" spans="1:6" x14ac:dyDescent="0.2">
      <c r="A24" t="s">
        <v>2</v>
      </c>
      <c r="B24" t="s">
        <v>15</v>
      </c>
      <c r="C24" t="s">
        <v>59</v>
      </c>
      <c r="D24" t="s">
        <v>64</v>
      </c>
      <c r="E24">
        <v>54.1</v>
      </c>
      <c r="F24" t="s">
        <v>189</v>
      </c>
    </row>
    <row r="25" spans="1:6" x14ac:dyDescent="0.2">
      <c r="A25" t="s">
        <v>3</v>
      </c>
      <c r="B25" t="s">
        <v>15</v>
      </c>
      <c r="C25" t="s">
        <v>59</v>
      </c>
      <c r="D25" t="s">
        <v>64</v>
      </c>
      <c r="E25">
        <v>82</v>
      </c>
      <c r="F25" t="s">
        <v>190</v>
      </c>
    </row>
    <row r="26" spans="1:6" x14ac:dyDescent="0.2">
      <c r="A26" t="s">
        <v>4</v>
      </c>
      <c r="B26" t="s">
        <v>15</v>
      </c>
      <c r="C26" t="s">
        <v>59</v>
      </c>
      <c r="D26" t="s">
        <v>64</v>
      </c>
      <c r="E26">
        <v>71.099999999999994</v>
      </c>
      <c r="F26" t="s">
        <v>189</v>
      </c>
    </row>
    <row r="27" spans="1:6" x14ac:dyDescent="0.2">
      <c r="A27" t="s">
        <v>0</v>
      </c>
      <c r="B27" t="s">
        <v>15</v>
      </c>
      <c r="C27" t="s">
        <v>60</v>
      </c>
      <c r="D27" t="s">
        <v>64</v>
      </c>
      <c r="E27">
        <v>83.5</v>
      </c>
      <c r="F27" t="s">
        <v>190</v>
      </c>
    </row>
    <row r="28" spans="1:6" x14ac:dyDescent="0.2">
      <c r="A28" t="s">
        <v>1</v>
      </c>
      <c r="B28" t="s">
        <v>15</v>
      </c>
      <c r="C28" t="s">
        <v>60</v>
      </c>
      <c r="D28" t="s">
        <v>64</v>
      </c>
      <c r="E28">
        <v>68.3</v>
      </c>
      <c r="F28" t="s">
        <v>189</v>
      </c>
    </row>
    <row r="29" spans="1:6" x14ac:dyDescent="0.2">
      <c r="A29" t="s">
        <v>2</v>
      </c>
      <c r="B29" t="s">
        <v>15</v>
      </c>
      <c r="C29" t="s">
        <v>60</v>
      </c>
      <c r="D29" t="s">
        <v>64</v>
      </c>
      <c r="E29">
        <v>81</v>
      </c>
      <c r="F29" t="s">
        <v>189</v>
      </c>
    </row>
    <row r="30" spans="1:6" x14ac:dyDescent="0.2">
      <c r="A30" t="s">
        <v>3</v>
      </c>
      <c r="B30" t="s">
        <v>15</v>
      </c>
      <c r="C30" t="s">
        <v>60</v>
      </c>
      <c r="D30" t="s">
        <v>64</v>
      </c>
      <c r="E30">
        <v>43.2</v>
      </c>
      <c r="F30" t="s">
        <v>191</v>
      </c>
    </row>
    <row r="31" spans="1:6" x14ac:dyDescent="0.2">
      <c r="A31" t="s">
        <v>4</v>
      </c>
      <c r="B31" t="s">
        <v>15</v>
      </c>
      <c r="C31" t="s">
        <v>60</v>
      </c>
      <c r="D31" t="s">
        <v>64</v>
      </c>
      <c r="E31">
        <v>53.3</v>
      </c>
      <c r="F31" t="s">
        <v>189</v>
      </c>
    </row>
    <row r="32" spans="1:6" x14ac:dyDescent="0.2">
      <c r="A32" t="s">
        <v>0</v>
      </c>
      <c r="B32" t="s">
        <v>15</v>
      </c>
      <c r="C32" t="s">
        <v>61</v>
      </c>
      <c r="D32" t="s">
        <v>64</v>
      </c>
      <c r="E32">
        <v>71.3</v>
      </c>
      <c r="F32" t="s">
        <v>189</v>
      </c>
    </row>
    <row r="33" spans="1:6" x14ac:dyDescent="0.2">
      <c r="A33" t="s">
        <v>1</v>
      </c>
      <c r="B33" t="s">
        <v>15</v>
      </c>
      <c r="C33" t="s">
        <v>61</v>
      </c>
      <c r="D33" t="s">
        <v>64</v>
      </c>
      <c r="E33">
        <v>80.400000000000006</v>
      </c>
      <c r="F33" t="s">
        <v>189</v>
      </c>
    </row>
    <row r="34" spans="1:6" x14ac:dyDescent="0.2">
      <c r="A34" t="s">
        <v>2</v>
      </c>
      <c r="B34" t="s">
        <v>15</v>
      </c>
      <c r="C34" t="s">
        <v>61</v>
      </c>
      <c r="D34" t="s">
        <v>64</v>
      </c>
      <c r="E34">
        <v>70.7</v>
      </c>
      <c r="F34" t="s">
        <v>189</v>
      </c>
    </row>
    <row r="35" spans="1:6" x14ac:dyDescent="0.2">
      <c r="A35" t="s">
        <v>3</v>
      </c>
      <c r="B35" t="s">
        <v>15</v>
      </c>
      <c r="C35" t="s">
        <v>61</v>
      </c>
      <c r="D35" t="s">
        <v>64</v>
      </c>
      <c r="E35">
        <v>67.900000000000006</v>
      </c>
      <c r="F35" t="s">
        <v>189</v>
      </c>
    </row>
    <row r="36" spans="1:6" x14ac:dyDescent="0.2">
      <c r="A36" t="s">
        <v>4</v>
      </c>
      <c r="B36" t="s">
        <v>15</v>
      </c>
      <c r="C36" t="s">
        <v>61</v>
      </c>
      <c r="D36" t="s">
        <v>64</v>
      </c>
      <c r="E36">
        <v>84.5</v>
      </c>
      <c r="F36" t="s">
        <v>190</v>
      </c>
    </row>
    <row r="37" spans="1:6" x14ac:dyDescent="0.2">
      <c r="A37" t="s">
        <v>0</v>
      </c>
      <c r="B37" t="s">
        <v>15</v>
      </c>
      <c r="C37" t="s">
        <v>62</v>
      </c>
      <c r="D37" t="s">
        <v>64</v>
      </c>
      <c r="E37">
        <v>81.099999999999994</v>
      </c>
      <c r="F37" t="s">
        <v>189</v>
      </c>
    </row>
    <row r="38" spans="1:6" x14ac:dyDescent="0.2">
      <c r="A38" t="s">
        <v>1</v>
      </c>
      <c r="B38" t="s">
        <v>15</v>
      </c>
      <c r="C38" t="s">
        <v>62</v>
      </c>
      <c r="D38" t="s">
        <v>64</v>
      </c>
      <c r="E38">
        <v>64.2</v>
      </c>
      <c r="F38" t="s">
        <v>189</v>
      </c>
    </row>
    <row r="39" spans="1:6" x14ac:dyDescent="0.2">
      <c r="A39" t="s">
        <v>2</v>
      </c>
      <c r="B39" t="s">
        <v>15</v>
      </c>
      <c r="C39" t="s">
        <v>62</v>
      </c>
      <c r="D39" t="s">
        <v>64</v>
      </c>
      <c r="E39">
        <v>85.2</v>
      </c>
      <c r="F39" t="s">
        <v>190</v>
      </c>
    </row>
    <row r="40" spans="1:6" x14ac:dyDescent="0.2">
      <c r="A40" t="s">
        <v>3</v>
      </c>
      <c r="B40" t="s">
        <v>15</v>
      </c>
      <c r="C40" t="s">
        <v>62</v>
      </c>
      <c r="D40" t="s">
        <v>64</v>
      </c>
      <c r="E40">
        <v>50.2</v>
      </c>
      <c r="F40" t="s">
        <v>189</v>
      </c>
    </row>
    <row r="41" spans="1:6" x14ac:dyDescent="0.2">
      <c r="A41" t="s">
        <v>4</v>
      </c>
      <c r="B41" t="s">
        <v>15</v>
      </c>
      <c r="C41" t="s">
        <v>62</v>
      </c>
      <c r="D41" t="s">
        <v>64</v>
      </c>
      <c r="E41">
        <v>58</v>
      </c>
      <c r="F41" t="s">
        <v>189</v>
      </c>
    </row>
    <row r="42" spans="1:6" x14ac:dyDescent="0.2">
      <c r="A42" t="s">
        <v>0</v>
      </c>
      <c r="B42" t="s">
        <v>15</v>
      </c>
      <c r="C42" t="s">
        <v>55</v>
      </c>
      <c r="D42" t="s">
        <v>65</v>
      </c>
      <c r="E42">
        <v>83.8</v>
      </c>
      <c r="F42" t="s">
        <v>190</v>
      </c>
    </row>
    <row r="43" spans="1:6" x14ac:dyDescent="0.2">
      <c r="A43" t="s">
        <v>1</v>
      </c>
      <c r="B43" t="s">
        <v>15</v>
      </c>
      <c r="C43" t="s">
        <v>55</v>
      </c>
      <c r="D43" t="s">
        <v>65</v>
      </c>
      <c r="E43">
        <v>76.900000000000006</v>
      </c>
      <c r="F43" t="s">
        <v>189</v>
      </c>
    </row>
    <row r="44" spans="1:6" x14ac:dyDescent="0.2">
      <c r="A44" t="s">
        <v>2</v>
      </c>
      <c r="B44" t="s">
        <v>15</v>
      </c>
      <c r="C44" t="s">
        <v>55</v>
      </c>
      <c r="D44" t="s">
        <v>65</v>
      </c>
      <c r="E44">
        <v>78.2</v>
      </c>
      <c r="F44" t="s">
        <v>189</v>
      </c>
    </row>
    <row r="45" spans="1:6" x14ac:dyDescent="0.2">
      <c r="A45" t="s">
        <v>3</v>
      </c>
      <c r="B45" t="s">
        <v>15</v>
      </c>
      <c r="C45" t="s">
        <v>55</v>
      </c>
      <c r="D45" t="s">
        <v>65</v>
      </c>
      <c r="E45">
        <v>73.2</v>
      </c>
      <c r="F45" t="s">
        <v>189</v>
      </c>
    </row>
    <row r="46" spans="1:6" x14ac:dyDescent="0.2">
      <c r="A46" t="s">
        <v>4</v>
      </c>
      <c r="B46" t="s">
        <v>15</v>
      </c>
      <c r="C46" t="s">
        <v>55</v>
      </c>
      <c r="D46" t="s">
        <v>65</v>
      </c>
      <c r="E46">
        <v>67.599999999999994</v>
      </c>
      <c r="F46" t="s">
        <v>189</v>
      </c>
    </row>
    <row r="47" spans="1:6" x14ac:dyDescent="0.2">
      <c r="A47" t="s">
        <v>0</v>
      </c>
      <c r="B47" t="s">
        <v>15</v>
      </c>
      <c r="C47" t="s">
        <v>56</v>
      </c>
      <c r="D47" t="s">
        <v>65</v>
      </c>
      <c r="E47">
        <v>78.599999999999994</v>
      </c>
      <c r="F47" t="s">
        <v>189</v>
      </c>
    </row>
    <row r="48" spans="1:6" x14ac:dyDescent="0.2">
      <c r="A48" t="s">
        <v>1</v>
      </c>
      <c r="B48" t="s">
        <v>15</v>
      </c>
      <c r="C48" t="s">
        <v>56</v>
      </c>
      <c r="D48" t="s">
        <v>65</v>
      </c>
      <c r="E48">
        <v>67.5</v>
      </c>
      <c r="F48" t="s">
        <v>189</v>
      </c>
    </row>
    <row r="49" spans="1:6" x14ac:dyDescent="0.2">
      <c r="A49" t="s">
        <v>2</v>
      </c>
      <c r="B49" t="s">
        <v>15</v>
      </c>
      <c r="C49" t="s">
        <v>56</v>
      </c>
      <c r="D49" t="s">
        <v>65</v>
      </c>
      <c r="E49">
        <v>89.7</v>
      </c>
      <c r="F49" t="s">
        <v>190</v>
      </c>
    </row>
    <row r="50" spans="1:6" x14ac:dyDescent="0.2">
      <c r="A50" t="s">
        <v>3</v>
      </c>
      <c r="B50" t="s">
        <v>15</v>
      </c>
      <c r="C50" t="s">
        <v>56</v>
      </c>
      <c r="D50" t="s">
        <v>65</v>
      </c>
      <c r="E50">
        <v>57.5</v>
      </c>
      <c r="F50" t="s">
        <v>189</v>
      </c>
    </row>
    <row r="51" spans="1:6" x14ac:dyDescent="0.2">
      <c r="A51" t="s">
        <v>4</v>
      </c>
      <c r="B51" t="s">
        <v>15</v>
      </c>
      <c r="C51" t="s">
        <v>56</v>
      </c>
      <c r="D51" t="s">
        <v>65</v>
      </c>
      <c r="E51">
        <v>59.9</v>
      </c>
      <c r="F51" t="s">
        <v>189</v>
      </c>
    </row>
    <row r="52" spans="1:6" x14ac:dyDescent="0.2">
      <c r="A52" t="s">
        <v>0</v>
      </c>
      <c r="B52" t="s">
        <v>15</v>
      </c>
      <c r="C52" t="s">
        <v>57</v>
      </c>
      <c r="D52" t="s">
        <v>65</v>
      </c>
      <c r="E52">
        <v>67.900000000000006</v>
      </c>
      <c r="F52" t="s">
        <v>189</v>
      </c>
    </row>
    <row r="53" spans="1:6" x14ac:dyDescent="0.2">
      <c r="A53" t="s">
        <v>1</v>
      </c>
      <c r="B53" t="s">
        <v>15</v>
      </c>
      <c r="C53" t="s">
        <v>57</v>
      </c>
      <c r="D53" t="s">
        <v>65</v>
      </c>
      <c r="E53">
        <v>71.599999999999994</v>
      </c>
      <c r="F53" t="s">
        <v>189</v>
      </c>
    </row>
    <row r="54" spans="1:6" x14ac:dyDescent="0.2">
      <c r="A54" t="s">
        <v>2</v>
      </c>
      <c r="B54" t="s">
        <v>15</v>
      </c>
      <c r="C54" t="s">
        <v>57</v>
      </c>
      <c r="D54" t="s">
        <v>65</v>
      </c>
      <c r="E54">
        <v>57.3</v>
      </c>
      <c r="F54" t="s">
        <v>189</v>
      </c>
    </row>
    <row r="55" spans="1:6" x14ac:dyDescent="0.2">
      <c r="A55" t="s">
        <v>3</v>
      </c>
      <c r="B55" t="s">
        <v>15</v>
      </c>
      <c r="C55" t="s">
        <v>57</v>
      </c>
      <c r="D55" t="s">
        <v>65</v>
      </c>
      <c r="E55">
        <v>67.8</v>
      </c>
      <c r="F55" t="s">
        <v>189</v>
      </c>
    </row>
    <row r="56" spans="1:6" x14ac:dyDescent="0.2">
      <c r="A56" t="s">
        <v>4</v>
      </c>
      <c r="B56" t="s">
        <v>15</v>
      </c>
      <c r="C56" t="s">
        <v>57</v>
      </c>
      <c r="D56" t="s">
        <v>65</v>
      </c>
      <c r="E56">
        <v>66</v>
      </c>
      <c r="F56" t="s">
        <v>189</v>
      </c>
    </row>
    <row r="57" spans="1:6" x14ac:dyDescent="0.2">
      <c r="A57" t="s">
        <v>0</v>
      </c>
      <c r="B57" t="s">
        <v>15</v>
      </c>
      <c r="C57" t="s">
        <v>58</v>
      </c>
      <c r="D57" t="s">
        <v>65</v>
      </c>
      <c r="E57">
        <v>77.7</v>
      </c>
      <c r="F57" t="s">
        <v>190</v>
      </c>
    </row>
    <row r="58" spans="1:6" x14ac:dyDescent="0.2">
      <c r="A58" t="s">
        <v>1</v>
      </c>
      <c r="B58" t="s">
        <v>15</v>
      </c>
      <c r="C58" t="s">
        <v>58</v>
      </c>
      <c r="D58" t="s">
        <v>65</v>
      </c>
      <c r="E58">
        <v>62.5</v>
      </c>
      <c r="F58" t="s">
        <v>189</v>
      </c>
    </row>
    <row r="59" spans="1:6" x14ac:dyDescent="0.2">
      <c r="A59" t="s">
        <v>2</v>
      </c>
      <c r="B59" t="s">
        <v>15</v>
      </c>
      <c r="C59" t="s">
        <v>58</v>
      </c>
      <c r="D59" t="s">
        <v>65</v>
      </c>
      <c r="E59">
        <v>66.3</v>
      </c>
      <c r="F59" t="s">
        <v>189</v>
      </c>
    </row>
    <row r="60" spans="1:6" x14ac:dyDescent="0.2">
      <c r="A60" t="s">
        <v>3</v>
      </c>
      <c r="B60" t="s">
        <v>15</v>
      </c>
      <c r="C60" t="s">
        <v>58</v>
      </c>
      <c r="D60" t="s">
        <v>65</v>
      </c>
      <c r="E60">
        <v>62.2</v>
      </c>
      <c r="F60" t="s">
        <v>189</v>
      </c>
    </row>
    <row r="61" spans="1:6" x14ac:dyDescent="0.2">
      <c r="A61" t="s">
        <v>4</v>
      </c>
      <c r="B61" t="s">
        <v>15</v>
      </c>
      <c r="C61" t="s">
        <v>58</v>
      </c>
      <c r="D61" t="s">
        <v>65</v>
      </c>
      <c r="E61">
        <v>56.1</v>
      </c>
      <c r="F61" t="s">
        <v>189</v>
      </c>
    </row>
    <row r="62" spans="1:6" x14ac:dyDescent="0.2">
      <c r="A62" t="s">
        <v>0</v>
      </c>
      <c r="B62" t="s">
        <v>15</v>
      </c>
      <c r="C62" t="s">
        <v>59</v>
      </c>
      <c r="D62" t="s">
        <v>65</v>
      </c>
      <c r="E62">
        <v>59</v>
      </c>
      <c r="F62" t="s">
        <v>189</v>
      </c>
    </row>
    <row r="63" spans="1:6" x14ac:dyDescent="0.2">
      <c r="A63" t="s">
        <v>1</v>
      </c>
      <c r="B63" t="s">
        <v>15</v>
      </c>
      <c r="C63" t="s">
        <v>59</v>
      </c>
      <c r="D63" t="s">
        <v>65</v>
      </c>
      <c r="E63">
        <v>60.9</v>
      </c>
      <c r="F63" t="s">
        <v>189</v>
      </c>
    </row>
    <row r="64" spans="1:6" x14ac:dyDescent="0.2">
      <c r="A64" t="s">
        <v>2</v>
      </c>
      <c r="B64" t="s">
        <v>15</v>
      </c>
      <c r="C64" t="s">
        <v>59</v>
      </c>
      <c r="D64" t="s">
        <v>65</v>
      </c>
      <c r="E64">
        <v>50.5</v>
      </c>
      <c r="F64" t="s">
        <v>189</v>
      </c>
    </row>
    <row r="65" spans="1:6" x14ac:dyDescent="0.2">
      <c r="A65" t="s">
        <v>3</v>
      </c>
      <c r="B65" t="s">
        <v>15</v>
      </c>
      <c r="C65" t="s">
        <v>59</v>
      </c>
      <c r="D65" t="s">
        <v>65</v>
      </c>
      <c r="E65">
        <v>85.6</v>
      </c>
      <c r="F65" t="s">
        <v>190</v>
      </c>
    </row>
    <row r="66" spans="1:6" x14ac:dyDescent="0.2">
      <c r="A66" t="s">
        <v>4</v>
      </c>
      <c r="B66" t="s">
        <v>15</v>
      </c>
      <c r="C66" t="s">
        <v>59</v>
      </c>
      <c r="D66" t="s">
        <v>65</v>
      </c>
      <c r="E66">
        <v>69.900000000000006</v>
      </c>
      <c r="F66" t="s">
        <v>189</v>
      </c>
    </row>
    <row r="67" spans="1:6" x14ac:dyDescent="0.2">
      <c r="A67" t="s">
        <v>0</v>
      </c>
      <c r="B67" t="s">
        <v>15</v>
      </c>
      <c r="C67" t="s">
        <v>60</v>
      </c>
      <c r="D67" t="s">
        <v>65</v>
      </c>
      <c r="E67">
        <v>82.2</v>
      </c>
      <c r="F67" t="s">
        <v>190</v>
      </c>
    </row>
    <row r="68" spans="1:6" x14ac:dyDescent="0.2">
      <c r="A68" t="s">
        <v>1</v>
      </c>
      <c r="B68" t="s">
        <v>15</v>
      </c>
      <c r="C68" t="s">
        <v>60</v>
      </c>
      <c r="D68" t="s">
        <v>65</v>
      </c>
      <c r="E68">
        <v>67</v>
      </c>
      <c r="F68" t="s">
        <v>189</v>
      </c>
    </row>
    <row r="69" spans="1:6" x14ac:dyDescent="0.2">
      <c r="A69" t="s">
        <v>2</v>
      </c>
      <c r="B69" t="s">
        <v>15</v>
      </c>
      <c r="C69" t="s">
        <v>60</v>
      </c>
      <c r="D69" t="s">
        <v>65</v>
      </c>
      <c r="E69">
        <v>81.400000000000006</v>
      </c>
      <c r="F69" t="s">
        <v>189</v>
      </c>
    </row>
    <row r="70" spans="1:6" x14ac:dyDescent="0.2">
      <c r="A70" t="s">
        <v>3</v>
      </c>
      <c r="B70" t="s">
        <v>15</v>
      </c>
      <c r="C70" t="s">
        <v>60</v>
      </c>
      <c r="D70" t="s">
        <v>65</v>
      </c>
      <c r="E70">
        <v>46.5</v>
      </c>
      <c r="F70" t="s">
        <v>191</v>
      </c>
    </row>
    <row r="71" spans="1:6" x14ac:dyDescent="0.2">
      <c r="A71" t="s">
        <v>4</v>
      </c>
      <c r="B71" t="s">
        <v>15</v>
      </c>
      <c r="C71" t="s">
        <v>60</v>
      </c>
      <c r="D71" t="s">
        <v>65</v>
      </c>
      <c r="E71">
        <v>53.2</v>
      </c>
      <c r="F71" t="s">
        <v>189</v>
      </c>
    </row>
    <row r="72" spans="1:6" x14ac:dyDescent="0.2">
      <c r="A72" t="s">
        <v>0</v>
      </c>
      <c r="B72" t="s">
        <v>15</v>
      </c>
      <c r="C72" t="s">
        <v>61</v>
      </c>
      <c r="D72" t="s">
        <v>65</v>
      </c>
      <c r="E72">
        <v>69.099999999999994</v>
      </c>
      <c r="F72" t="s">
        <v>189</v>
      </c>
    </row>
    <row r="73" spans="1:6" x14ac:dyDescent="0.2">
      <c r="A73" t="s">
        <v>1</v>
      </c>
      <c r="B73" t="s">
        <v>15</v>
      </c>
      <c r="C73" t="s">
        <v>61</v>
      </c>
      <c r="D73" t="s">
        <v>65</v>
      </c>
      <c r="E73">
        <v>77</v>
      </c>
      <c r="F73" t="s">
        <v>189</v>
      </c>
    </row>
    <row r="74" spans="1:6" x14ac:dyDescent="0.2">
      <c r="A74" t="s">
        <v>2</v>
      </c>
      <c r="B74" t="s">
        <v>15</v>
      </c>
      <c r="C74" t="s">
        <v>61</v>
      </c>
      <c r="D74" t="s">
        <v>65</v>
      </c>
      <c r="E74">
        <v>69.599999999999994</v>
      </c>
      <c r="F74" t="s">
        <v>189</v>
      </c>
    </row>
    <row r="75" spans="1:6" x14ac:dyDescent="0.2">
      <c r="A75" t="s">
        <v>3</v>
      </c>
      <c r="B75" t="s">
        <v>15</v>
      </c>
      <c r="C75" t="s">
        <v>61</v>
      </c>
      <c r="D75" t="s">
        <v>65</v>
      </c>
      <c r="E75">
        <v>65.599999999999994</v>
      </c>
      <c r="F75" t="s">
        <v>189</v>
      </c>
    </row>
    <row r="76" spans="1:6" x14ac:dyDescent="0.2">
      <c r="A76" t="s">
        <v>4</v>
      </c>
      <c r="B76" t="s">
        <v>15</v>
      </c>
      <c r="C76" t="s">
        <v>61</v>
      </c>
      <c r="D76" t="s">
        <v>65</v>
      </c>
      <c r="E76">
        <v>82.4</v>
      </c>
      <c r="F76" t="s">
        <v>190</v>
      </c>
    </row>
    <row r="77" spans="1:6" x14ac:dyDescent="0.2">
      <c r="A77" t="s">
        <v>0</v>
      </c>
      <c r="B77" t="s">
        <v>15</v>
      </c>
      <c r="C77" t="s">
        <v>62</v>
      </c>
      <c r="D77" t="s">
        <v>65</v>
      </c>
      <c r="E77">
        <v>79.8</v>
      </c>
      <c r="F77" t="s">
        <v>189</v>
      </c>
    </row>
    <row r="78" spans="1:6" x14ac:dyDescent="0.2">
      <c r="A78" t="s">
        <v>1</v>
      </c>
      <c r="B78" t="s">
        <v>15</v>
      </c>
      <c r="C78" t="s">
        <v>62</v>
      </c>
      <c r="D78" t="s">
        <v>65</v>
      </c>
      <c r="E78">
        <v>65.099999999999994</v>
      </c>
      <c r="F78" t="s">
        <v>189</v>
      </c>
    </row>
    <row r="79" spans="1:6" x14ac:dyDescent="0.2">
      <c r="A79" t="s">
        <v>2</v>
      </c>
      <c r="B79" t="s">
        <v>15</v>
      </c>
      <c r="C79" t="s">
        <v>62</v>
      </c>
      <c r="D79" t="s">
        <v>65</v>
      </c>
      <c r="E79">
        <v>84.1</v>
      </c>
      <c r="F79" t="s">
        <v>190</v>
      </c>
    </row>
    <row r="80" spans="1:6" x14ac:dyDescent="0.2">
      <c r="A80" t="s">
        <v>3</v>
      </c>
      <c r="B80" t="s">
        <v>15</v>
      </c>
      <c r="C80" t="s">
        <v>62</v>
      </c>
      <c r="D80" t="s">
        <v>65</v>
      </c>
      <c r="E80">
        <v>49.4</v>
      </c>
      <c r="F80" t="s">
        <v>191</v>
      </c>
    </row>
    <row r="81" spans="1:6" x14ac:dyDescent="0.2">
      <c r="A81" t="s">
        <v>4</v>
      </c>
      <c r="B81" t="s">
        <v>15</v>
      </c>
      <c r="C81" t="s">
        <v>62</v>
      </c>
      <c r="D81" t="s">
        <v>65</v>
      </c>
      <c r="E81">
        <v>61.6</v>
      </c>
      <c r="F81" t="s">
        <v>189</v>
      </c>
    </row>
    <row r="82" spans="1:6" x14ac:dyDescent="0.2">
      <c r="A82" t="s">
        <v>0</v>
      </c>
      <c r="B82" t="s">
        <v>15</v>
      </c>
      <c r="C82" t="s">
        <v>55</v>
      </c>
      <c r="D82" t="s">
        <v>66</v>
      </c>
      <c r="E82">
        <v>83.8</v>
      </c>
      <c r="F82" t="s">
        <v>189</v>
      </c>
    </row>
    <row r="83" spans="1:6" x14ac:dyDescent="0.2">
      <c r="A83" t="s">
        <v>1</v>
      </c>
      <c r="B83" t="s">
        <v>15</v>
      </c>
      <c r="C83" t="s">
        <v>55</v>
      </c>
      <c r="D83" t="s">
        <v>66</v>
      </c>
      <c r="E83">
        <v>72.3</v>
      </c>
      <c r="F83" t="s">
        <v>189</v>
      </c>
    </row>
    <row r="84" spans="1:6" x14ac:dyDescent="0.2">
      <c r="A84" t="s">
        <v>2</v>
      </c>
      <c r="B84" t="s">
        <v>15</v>
      </c>
      <c r="C84" t="s">
        <v>55</v>
      </c>
      <c r="D84" t="s">
        <v>66</v>
      </c>
      <c r="E84">
        <v>82.3</v>
      </c>
      <c r="F84" t="s">
        <v>189</v>
      </c>
    </row>
    <row r="85" spans="1:6" x14ac:dyDescent="0.2">
      <c r="A85" t="s">
        <v>3</v>
      </c>
      <c r="B85" t="s">
        <v>15</v>
      </c>
      <c r="C85" t="s">
        <v>55</v>
      </c>
      <c r="D85" t="s">
        <v>66</v>
      </c>
      <c r="E85">
        <v>70.900000000000006</v>
      </c>
      <c r="F85" t="s">
        <v>189</v>
      </c>
    </row>
    <row r="86" spans="1:6" x14ac:dyDescent="0.2">
      <c r="A86" t="s">
        <v>4</v>
      </c>
      <c r="B86" t="s">
        <v>15</v>
      </c>
      <c r="C86" t="s">
        <v>55</v>
      </c>
      <c r="D86" t="s">
        <v>66</v>
      </c>
      <c r="E86">
        <v>71.5</v>
      </c>
      <c r="F86" t="s">
        <v>189</v>
      </c>
    </row>
    <row r="87" spans="1:6" x14ac:dyDescent="0.2">
      <c r="A87" t="s">
        <v>0</v>
      </c>
      <c r="B87" t="s">
        <v>15</v>
      </c>
      <c r="C87" t="s">
        <v>56</v>
      </c>
      <c r="D87" t="s">
        <v>66</v>
      </c>
      <c r="E87">
        <v>80.099999999999994</v>
      </c>
      <c r="F87" t="s">
        <v>189</v>
      </c>
    </row>
    <row r="88" spans="1:6" x14ac:dyDescent="0.2">
      <c r="A88" t="s">
        <v>1</v>
      </c>
      <c r="B88" t="s">
        <v>15</v>
      </c>
      <c r="C88" t="s">
        <v>56</v>
      </c>
      <c r="D88" t="s">
        <v>66</v>
      </c>
      <c r="E88">
        <v>68.3</v>
      </c>
      <c r="F88" t="s">
        <v>189</v>
      </c>
    </row>
    <row r="89" spans="1:6" x14ac:dyDescent="0.2">
      <c r="A89" t="s">
        <v>2</v>
      </c>
      <c r="B89" t="s">
        <v>15</v>
      </c>
      <c r="C89" t="s">
        <v>56</v>
      </c>
      <c r="D89" t="s">
        <v>66</v>
      </c>
      <c r="E89">
        <v>90.5</v>
      </c>
      <c r="F89" t="s">
        <v>190</v>
      </c>
    </row>
    <row r="90" spans="1:6" x14ac:dyDescent="0.2">
      <c r="A90" t="s">
        <v>3</v>
      </c>
      <c r="B90" t="s">
        <v>15</v>
      </c>
      <c r="C90" t="s">
        <v>56</v>
      </c>
      <c r="D90" t="s">
        <v>66</v>
      </c>
      <c r="E90">
        <v>57.2</v>
      </c>
      <c r="F90" t="s">
        <v>189</v>
      </c>
    </row>
    <row r="91" spans="1:6" x14ac:dyDescent="0.2">
      <c r="A91" t="s">
        <v>4</v>
      </c>
      <c r="B91" t="s">
        <v>15</v>
      </c>
      <c r="C91" t="s">
        <v>56</v>
      </c>
      <c r="D91" t="s">
        <v>66</v>
      </c>
      <c r="E91">
        <v>59.5</v>
      </c>
      <c r="F91" t="s">
        <v>189</v>
      </c>
    </row>
    <row r="92" spans="1:6" x14ac:dyDescent="0.2">
      <c r="A92" t="s">
        <v>0</v>
      </c>
      <c r="B92" t="s">
        <v>15</v>
      </c>
      <c r="C92" t="s">
        <v>57</v>
      </c>
      <c r="D92" t="s">
        <v>66</v>
      </c>
      <c r="E92">
        <v>62.7</v>
      </c>
      <c r="F92" t="s">
        <v>189</v>
      </c>
    </row>
    <row r="93" spans="1:6" x14ac:dyDescent="0.2">
      <c r="A93" t="s">
        <v>1</v>
      </c>
      <c r="B93" t="s">
        <v>15</v>
      </c>
      <c r="C93" t="s">
        <v>57</v>
      </c>
      <c r="D93" t="s">
        <v>66</v>
      </c>
      <c r="E93">
        <v>71.400000000000006</v>
      </c>
      <c r="F93" t="s">
        <v>189</v>
      </c>
    </row>
    <row r="94" spans="1:6" x14ac:dyDescent="0.2">
      <c r="A94" t="s">
        <v>2</v>
      </c>
      <c r="B94" t="s">
        <v>15</v>
      </c>
      <c r="C94" t="s">
        <v>57</v>
      </c>
      <c r="D94" t="s">
        <v>66</v>
      </c>
      <c r="E94">
        <v>61.3</v>
      </c>
      <c r="F94" t="s">
        <v>189</v>
      </c>
    </row>
    <row r="95" spans="1:6" x14ac:dyDescent="0.2">
      <c r="A95" t="s">
        <v>3</v>
      </c>
      <c r="B95" t="s">
        <v>15</v>
      </c>
      <c r="C95" t="s">
        <v>57</v>
      </c>
      <c r="D95" t="s">
        <v>66</v>
      </c>
      <c r="E95">
        <v>71.3</v>
      </c>
      <c r="F95" t="s">
        <v>189</v>
      </c>
    </row>
    <row r="96" spans="1:6" x14ac:dyDescent="0.2">
      <c r="A96" t="s">
        <v>4</v>
      </c>
      <c r="B96" t="s">
        <v>15</v>
      </c>
      <c r="C96" t="s">
        <v>57</v>
      </c>
      <c r="D96" t="s">
        <v>66</v>
      </c>
      <c r="E96">
        <v>67.599999999999994</v>
      </c>
      <c r="F96" t="s">
        <v>189</v>
      </c>
    </row>
    <row r="97" spans="1:6" x14ac:dyDescent="0.2">
      <c r="A97" t="s">
        <v>0</v>
      </c>
      <c r="B97" t="s">
        <v>15</v>
      </c>
      <c r="C97" t="s">
        <v>58</v>
      </c>
      <c r="D97" t="s">
        <v>66</v>
      </c>
      <c r="E97">
        <v>76.900000000000006</v>
      </c>
      <c r="F97" t="s">
        <v>190</v>
      </c>
    </row>
    <row r="98" spans="1:6" x14ac:dyDescent="0.2">
      <c r="A98" t="s">
        <v>1</v>
      </c>
      <c r="B98" t="s">
        <v>15</v>
      </c>
      <c r="C98" t="s">
        <v>58</v>
      </c>
      <c r="D98" t="s">
        <v>66</v>
      </c>
      <c r="E98">
        <v>66.900000000000006</v>
      </c>
      <c r="F98" t="s">
        <v>189</v>
      </c>
    </row>
    <row r="99" spans="1:6" x14ac:dyDescent="0.2">
      <c r="A99" t="s">
        <v>2</v>
      </c>
      <c r="B99" t="s">
        <v>15</v>
      </c>
      <c r="C99" t="s">
        <v>58</v>
      </c>
      <c r="D99" t="s">
        <v>66</v>
      </c>
      <c r="E99">
        <v>67.400000000000006</v>
      </c>
      <c r="F99" t="s">
        <v>189</v>
      </c>
    </row>
    <row r="100" spans="1:6" x14ac:dyDescent="0.2">
      <c r="A100" t="s">
        <v>3</v>
      </c>
      <c r="B100" t="s">
        <v>15</v>
      </c>
      <c r="C100" t="s">
        <v>58</v>
      </c>
      <c r="D100" t="s">
        <v>66</v>
      </c>
      <c r="E100">
        <v>58.3</v>
      </c>
      <c r="F100" t="s">
        <v>189</v>
      </c>
    </row>
    <row r="101" spans="1:6" x14ac:dyDescent="0.2">
      <c r="A101" t="s">
        <v>4</v>
      </c>
      <c r="B101" t="s">
        <v>15</v>
      </c>
      <c r="C101" t="s">
        <v>58</v>
      </c>
      <c r="D101" t="s">
        <v>66</v>
      </c>
      <c r="E101">
        <v>60.8</v>
      </c>
      <c r="F101" t="s">
        <v>189</v>
      </c>
    </row>
    <row r="102" spans="1:6" x14ac:dyDescent="0.2">
      <c r="A102" t="s">
        <v>0</v>
      </c>
      <c r="B102" t="s">
        <v>15</v>
      </c>
      <c r="C102" t="s">
        <v>59</v>
      </c>
      <c r="D102" t="s">
        <v>66</v>
      </c>
      <c r="E102">
        <v>56.1</v>
      </c>
      <c r="F102" t="s">
        <v>189</v>
      </c>
    </row>
    <row r="103" spans="1:6" x14ac:dyDescent="0.2">
      <c r="A103" t="s">
        <v>1</v>
      </c>
      <c r="B103" t="s">
        <v>15</v>
      </c>
      <c r="C103" t="s">
        <v>59</v>
      </c>
      <c r="D103" t="s">
        <v>66</v>
      </c>
      <c r="E103">
        <v>61.4</v>
      </c>
      <c r="F103" t="s">
        <v>189</v>
      </c>
    </row>
    <row r="104" spans="1:6" x14ac:dyDescent="0.2">
      <c r="A104" t="s">
        <v>2</v>
      </c>
      <c r="B104" t="s">
        <v>15</v>
      </c>
      <c r="C104" t="s">
        <v>59</v>
      </c>
      <c r="D104" t="s">
        <v>66</v>
      </c>
      <c r="E104">
        <v>51.7</v>
      </c>
      <c r="F104" t="s">
        <v>189</v>
      </c>
    </row>
    <row r="105" spans="1:6" x14ac:dyDescent="0.2">
      <c r="A105" t="s">
        <v>3</v>
      </c>
      <c r="B105" t="s">
        <v>15</v>
      </c>
      <c r="C105" t="s">
        <v>59</v>
      </c>
      <c r="D105" t="s">
        <v>66</v>
      </c>
      <c r="E105">
        <v>86.9</v>
      </c>
      <c r="F105" t="s">
        <v>190</v>
      </c>
    </row>
    <row r="106" spans="1:6" x14ac:dyDescent="0.2">
      <c r="A106" t="s">
        <v>4</v>
      </c>
      <c r="B106" t="s">
        <v>15</v>
      </c>
      <c r="C106" t="s">
        <v>59</v>
      </c>
      <c r="D106" t="s">
        <v>66</v>
      </c>
      <c r="E106">
        <v>70.5</v>
      </c>
      <c r="F106" t="s">
        <v>189</v>
      </c>
    </row>
    <row r="107" spans="1:6" x14ac:dyDescent="0.2">
      <c r="A107" t="s">
        <v>0</v>
      </c>
      <c r="B107" t="s">
        <v>15</v>
      </c>
      <c r="C107" t="s">
        <v>60</v>
      </c>
      <c r="D107" t="s">
        <v>66</v>
      </c>
      <c r="E107">
        <v>82.4</v>
      </c>
      <c r="F107" t="s">
        <v>190</v>
      </c>
    </row>
    <row r="108" spans="1:6" x14ac:dyDescent="0.2">
      <c r="A108" t="s">
        <v>1</v>
      </c>
      <c r="B108" t="s">
        <v>15</v>
      </c>
      <c r="C108" t="s">
        <v>60</v>
      </c>
      <c r="D108" t="s">
        <v>66</v>
      </c>
      <c r="E108">
        <v>69.5</v>
      </c>
      <c r="F108" t="s">
        <v>189</v>
      </c>
    </row>
    <row r="109" spans="1:6" x14ac:dyDescent="0.2">
      <c r="A109" t="s">
        <v>2</v>
      </c>
      <c r="B109" t="s">
        <v>15</v>
      </c>
      <c r="C109" t="s">
        <v>60</v>
      </c>
      <c r="D109" t="s">
        <v>66</v>
      </c>
      <c r="E109">
        <v>80.900000000000006</v>
      </c>
      <c r="F109" t="s">
        <v>189</v>
      </c>
    </row>
    <row r="110" spans="1:6" x14ac:dyDescent="0.2">
      <c r="A110" t="s">
        <v>3</v>
      </c>
      <c r="B110" t="s">
        <v>15</v>
      </c>
      <c r="C110" t="s">
        <v>60</v>
      </c>
      <c r="D110" t="s">
        <v>66</v>
      </c>
      <c r="E110">
        <v>46</v>
      </c>
      <c r="F110" t="s">
        <v>191</v>
      </c>
    </row>
    <row r="111" spans="1:6" x14ac:dyDescent="0.2">
      <c r="A111" t="s">
        <v>4</v>
      </c>
      <c r="B111" t="s">
        <v>15</v>
      </c>
      <c r="C111" t="s">
        <v>60</v>
      </c>
      <c r="D111" t="s">
        <v>66</v>
      </c>
      <c r="E111">
        <v>55</v>
      </c>
      <c r="F111" t="s">
        <v>189</v>
      </c>
    </row>
    <row r="112" spans="1:6" x14ac:dyDescent="0.2">
      <c r="A112" t="s">
        <v>0</v>
      </c>
      <c r="B112" t="s">
        <v>15</v>
      </c>
      <c r="C112" t="s">
        <v>61</v>
      </c>
      <c r="D112" t="s">
        <v>66</v>
      </c>
      <c r="E112">
        <v>70.7</v>
      </c>
      <c r="F112" t="s">
        <v>189</v>
      </c>
    </row>
    <row r="113" spans="1:6" x14ac:dyDescent="0.2">
      <c r="A113" t="s">
        <v>1</v>
      </c>
      <c r="B113" t="s">
        <v>15</v>
      </c>
      <c r="C113" t="s">
        <v>61</v>
      </c>
      <c r="D113" t="s">
        <v>66</v>
      </c>
      <c r="E113">
        <v>77.2</v>
      </c>
      <c r="F113" t="s">
        <v>189</v>
      </c>
    </row>
    <row r="114" spans="1:6" x14ac:dyDescent="0.2">
      <c r="A114" t="s">
        <v>2</v>
      </c>
      <c r="B114" t="s">
        <v>15</v>
      </c>
      <c r="C114" t="s">
        <v>61</v>
      </c>
      <c r="D114" t="s">
        <v>66</v>
      </c>
      <c r="E114">
        <v>68.900000000000006</v>
      </c>
      <c r="F114" t="s">
        <v>189</v>
      </c>
    </row>
    <row r="115" spans="1:6" x14ac:dyDescent="0.2">
      <c r="A115" t="s">
        <v>3</v>
      </c>
      <c r="B115" t="s">
        <v>15</v>
      </c>
      <c r="C115" t="s">
        <v>61</v>
      </c>
      <c r="D115" t="s">
        <v>66</v>
      </c>
      <c r="E115">
        <v>63.5</v>
      </c>
      <c r="F115" t="s">
        <v>189</v>
      </c>
    </row>
    <row r="116" spans="1:6" x14ac:dyDescent="0.2">
      <c r="A116" t="s">
        <v>4</v>
      </c>
      <c r="B116" t="s">
        <v>15</v>
      </c>
      <c r="C116" t="s">
        <v>61</v>
      </c>
      <c r="D116" t="s">
        <v>66</v>
      </c>
      <c r="E116">
        <v>84.4</v>
      </c>
      <c r="F116" t="s">
        <v>190</v>
      </c>
    </row>
    <row r="117" spans="1:6" x14ac:dyDescent="0.2">
      <c r="A117" t="s">
        <v>0</v>
      </c>
      <c r="B117" t="s">
        <v>15</v>
      </c>
      <c r="C117" t="s">
        <v>62</v>
      </c>
      <c r="D117" t="s">
        <v>66</v>
      </c>
      <c r="E117">
        <v>80.5</v>
      </c>
      <c r="F117" t="s">
        <v>189</v>
      </c>
    </row>
    <row r="118" spans="1:6" x14ac:dyDescent="0.2">
      <c r="A118" t="s">
        <v>1</v>
      </c>
      <c r="B118" t="s">
        <v>15</v>
      </c>
      <c r="C118" t="s">
        <v>62</v>
      </c>
      <c r="D118" t="s">
        <v>66</v>
      </c>
      <c r="E118">
        <v>62.6</v>
      </c>
      <c r="F118" t="s">
        <v>189</v>
      </c>
    </row>
    <row r="119" spans="1:6" x14ac:dyDescent="0.2">
      <c r="A119" t="s">
        <v>2</v>
      </c>
      <c r="B119" t="s">
        <v>15</v>
      </c>
      <c r="C119" t="s">
        <v>62</v>
      </c>
      <c r="D119" t="s">
        <v>66</v>
      </c>
      <c r="E119">
        <v>85.9</v>
      </c>
      <c r="F119" t="s">
        <v>190</v>
      </c>
    </row>
    <row r="120" spans="1:6" x14ac:dyDescent="0.2">
      <c r="A120" t="s">
        <v>3</v>
      </c>
      <c r="B120" t="s">
        <v>15</v>
      </c>
      <c r="C120" t="s">
        <v>62</v>
      </c>
      <c r="D120" t="s">
        <v>66</v>
      </c>
      <c r="E120">
        <v>48.8</v>
      </c>
      <c r="F120" t="s">
        <v>191</v>
      </c>
    </row>
    <row r="121" spans="1:6" x14ac:dyDescent="0.2">
      <c r="A121" t="s">
        <v>4</v>
      </c>
      <c r="B121" t="s">
        <v>15</v>
      </c>
      <c r="C121" t="s">
        <v>62</v>
      </c>
      <c r="D121" t="s">
        <v>66</v>
      </c>
      <c r="E121">
        <v>62.2</v>
      </c>
      <c r="F121" t="s">
        <v>189</v>
      </c>
    </row>
    <row r="122" spans="1:6" x14ac:dyDescent="0.2">
      <c r="A122" t="s">
        <v>0</v>
      </c>
      <c r="B122" t="s">
        <v>15</v>
      </c>
      <c r="C122" t="s">
        <v>55</v>
      </c>
      <c r="D122" t="s">
        <v>67</v>
      </c>
      <c r="E122">
        <v>83.7</v>
      </c>
      <c r="F122" t="s">
        <v>189</v>
      </c>
    </row>
    <row r="123" spans="1:6" x14ac:dyDescent="0.2">
      <c r="A123" t="s">
        <v>1</v>
      </c>
      <c r="B123" t="s">
        <v>15</v>
      </c>
      <c r="C123" t="s">
        <v>55</v>
      </c>
      <c r="D123" t="s">
        <v>67</v>
      </c>
      <c r="E123">
        <v>73.7</v>
      </c>
      <c r="F123" t="s">
        <v>189</v>
      </c>
    </row>
    <row r="124" spans="1:6" x14ac:dyDescent="0.2">
      <c r="A124" t="s">
        <v>2</v>
      </c>
      <c r="B124" t="s">
        <v>15</v>
      </c>
      <c r="C124" t="s">
        <v>55</v>
      </c>
      <c r="D124" t="s">
        <v>67</v>
      </c>
      <c r="E124">
        <v>79.099999999999994</v>
      </c>
      <c r="F124" t="s">
        <v>189</v>
      </c>
    </row>
    <row r="125" spans="1:6" x14ac:dyDescent="0.2">
      <c r="A125" t="s">
        <v>3</v>
      </c>
      <c r="B125" t="s">
        <v>15</v>
      </c>
      <c r="C125" t="s">
        <v>55</v>
      </c>
      <c r="D125" t="s">
        <v>67</v>
      </c>
      <c r="E125">
        <v>72.900000000000006</v>
      </c>
      <c r="F125" t="s">
        <v>189</v>
      </c>
    </row>
    <row r="126" spans="1:6" x14ac:dyDescent="0.2">
      <c r="A126" t="s">
        <v>4</v>
      </c>
      <c r="B126" t="s">
        <v>15</v>
      </c>
      <c r="C126" t="s">
        <v>55</v>
      </c>
      <c r="D126" t="s">
        <v>67</v>
      </c>
      <c r="E126">
        <v>70.2</v>
      </c>
      <c r="F126" t="s">
        <v>189</v>
      </c>
    </row>
    <row r="127" spans="1:6" x14ac:dyDescent="0.2">
      <c r="A127" t="s">
        <v>0</v>
      </c>
      <c r="B127" t="s">
        <v>15</v>
      </c>
      <c r="C127" t="s">
        <v>56</v>
      </c>
      <c r="D127" t="s">
        <v>67</v>
      </c>
      <c r="E127">
        <v>78.2</v>
      </c>
      <c r="F127" t="s">
        <v>189</v>
      </c>
    </row>
    <row r="128" spans="1:6" x14ac:dyDescent="0.2">
      <c r="A128" t="s">
        <v>1</v>
      </c>
      <c r="B128" t="s">
        <v>15</v>
      </c>
      <c r="C128" t="s">
        <v>56</v>
      </c>
      <c r="D128" t="s">
        <v>67</v>
      </c>
      <c r="E128">
        <v>71.099999999999994</v>
      </c>
      <c r="F128" t="s">
        <v>189</v>
      </c>
    </row>
    <row r="129" spans="1:6" x14ac:dyDescent="0.2">
      <c r="A129" t="s">
        <v>2</v>
      </c>
      <c r="B129" t="s">
        <v>15</v>
      </c>
      <c r="C129" t="s">
        <v>56</v>
      </c>
      <c r="D129" t="s">
        <v>67</v>
      </c>
      <c r="E129">
        <v>89</v>
      </c>
      <c r="F129" t="s">
        <v>190</v>
      </c>
    </row>
    <row r="130" spans="1:6" x14ac:dyDescent="0.2">
      <c r="A130" t="s">
        <v>3</v>
      </c>
      <c r="B130" t="s">
        <v>15</v>
      </c>
      <c r="C130" t="s">
        <v>56</v>
      </c>
      <c r="D130" t="s">
        <v>67</v>
      </c>
      <c r="E130">
        <v>56.5</v>
      </c>
      <c r="F130" t="s">
        <v>189</v>
      </c>
    </row>
    <row r="131" spans="1:6" x14ac:dyDescent="0.2">
      <c r="A131" t="s">
        <v>4</v>
      </c>
      <c r="B131" t="s">
        <v>15</v>
      </c>
      <c r="C131" t="s">
        <v>56</v>
      </c>
      <c r="D131" t="s">
        <v>67</v>
      </c>
      <c r="E131">
        <v>59</v>
      </c>
      <c r="F131" t="s">
        <v>189</v>
      </c>
    </row>
    <row r="132" spans="1:6" x14ac:dyDescent="0.2">
      <c r="A132" t="s">
        <v>0</v>
      </c>
      <c r="B132" t="s">
        <v>15</v>
      </c>
      <c r="C132" t="s">
        <v>57</v>
      </c>
      <c r="D132" t="s">
        <v>67</v>
      </c>
      <c r="E132">
        <v>67.599999999999994</v>
      </c>
      <c r="F132" t="s">
        <v>189</v>
      </c>
    </row>
    <row r="133" spans="1:6" x14ac:dyDescent="0.2">
      <c r="A133" t="s">
        <v>1</v>
      </c>
      <c r="B133" t="s">
        <v>15</v>
      </c>
      <c r="C133" t="s">
        <v>57</v>
      </c>
      <c r="D133" t="s">
        <v>67</v>
      </c>
      <c r="E133">
        <v>72.599999999999994</v>
      </c>
      <c r="F133" t="s">
        <v>189</v>
      </c>
    </row>
    <row r="134" spans="1:6" x14ac:dyDescent="0.2">
      <c r="A134" t="s">
        <v>2</v>
      </c>
      <c r="B134" t="s">
        <v>15</v>
      </c>
      <c r="C134" t="s">
        <v>57</v>
      </c>
      <c r="D134" t="s">
        <v>67</v>
      </c>
      <c r="E134">
        <v>61.2</v>
      </c>
      <c r="F134" t="s">
        <v>189</v>
      </c>
    </row>
    <row r="135" spans="1:6" x14ac:dyDescent="0.2">
      <c r="A135" t="s">
        <v>3</v>
      </c>
      <c r="B135" t="s">
        <v>15</v>
      </c>
      <c r="C135" t="s">
        <v>57</v>
      </c>
      <c r="D135" t="s">
        <v>67</v>
      </c>
      <c r="E135">
        <v>72.2</v>
      </c>
      <c r="F135" t="s">
        <v>189</v>
      </c>
    </row>
    <row r="136" spans="1:6" x14ac:dyDescent="0.2">
      <c r="A136" t="s">
        <v>4</v>
      </c>
      <c r="B136" t="s">
        <v>15</v>
      </c>
      <c r="C136" t="s">
        <v>57</v>
      </c>
      <c r="D136" t="s">
        <v>67</v>
      </c>
      <c r="E136">
        <v>66.900000000000006</v>
      </c>
      <c r="F136" t="s">
        <v>189</v>
      </c>
    </row>
    <row r="137" spans="1:6" x14ac:dyDescent="0.2">
      <c r="A137" t="s">
        <v>0</v>
      </c>
      <c r="B137" t="s">
        <v>15</v>
      </c>
      <c r="C137" t="s">
        <v>58</v>
      </c>
      <c r="D137" t="s">
        <v>67</v>
      </c>
      <c r="E137">
        <v>73.5</v>
      </c>
      <c r="F137" t="s">
        <v>190</v>
      </c>
    </row>
    <row r="138" spans="1:6" x14ac:dyDescent="0.2">
      <c r="A138" t="s">
        <v>1</v>
      </c>
      <c r="B138" t="s">
        <v>15</v>
      </c>
      <c r="C138" t="s">
        <v>58</v>
      </c>
      <c r="D138" t="s">
        <v>67</v>
      </c>
      <c r="E138">
        <v>67.900000000000006</v>
      </c>
      <c r="F138" t="s">
        <v>189</v>
      </c>
    </row>
    <row r="139" spans="1:6" x14ac:dyDescent="0.2">
      <c r="A139" t="s">
        <v>2</v>
      </c>
      <c r="B139" t="s">
        <v>15</v>
      </c>
      <c r="C139" t="s">
        <v>58</v>
      </c>
      <c r="D139" t="s">
        <v>67</v>
      </c>
      <c r="E139">
        <v>70.8</v>
      </c>
      <c r="F139" t="s">
        <v>189</v>
      </c>
    </row>
    <row r="140" spans="1:6" x14ac:dyDescent="0.2">
      <c r="A140" t="s">
        <v>3</v>
      </c>
      <c r="B140" t="s">
        <v>15</v>
      </c>
      <c r="C140" t="s">
        <v>58</v>
      </c>
      <c r="D140" t="s">
        <v>67</v>
      </c>
      <c r="E140">
        <v>58.4</v>
      </c>
      <c r="F140" t="s">
        <v>189</v>
      </c>
    </row>
    <row r="141" spans="1:6" x14ac:dyDescent="0.2">
      <c r="A141" t="s">
        <v>4</v>
      </c>
      <c r="B141" t="s">
        <v>15</v>
      </c>
      <c r="C141" t="s">
        <v>58</v>
      </c>
      <c r="D141" t="s">
        <v>67</v>
      </c>
      <c r="E141">
        <v>59</v>
      </c>
      <c r="F141" t="s">
        <v>189</v>
      </c>
    </row>
    <row r="142" spans="1:6" x14ac:dyDescent="0.2">
      <c r="A142" t="s">
        <v>0</v>
      </c>
      <c r="B142" t="s">
        <v>15</v>
      </c>
      <c r="C142" t="s">
        <v>59</v>
      </c>
      <c r="D142" t="s">
        <v>67</v>
      </c>
      <c r="E142">
        <v>60.3</v>
      </c>
      <c r="F142" t="s">
        <v>189</v>
      </c>
    </row>
    <row r="143" spans="1:6" x14ac:dyDescent="0.2">
      <c r="A143" t="s">
        <v>1</v>
      </c>
      <c r="B143" t="s">
        <v>15</v>
      </c>
      <c r="C143" t="s">
        <v>59</v>
      </c>
      <c r="D143" t="s">
        <v>67</v>
      </c>
      <c r="E143">
        <v>63</v>
      </c>
      <c r="F143" t="s">
        <v>189</v>
      </c>
    </row>
    <row r="144" spans="1:6" x14ac:dyDescent="0.2">
      <c r="A144" t="s">
        <v>2</v>
      </c>
      <c r="B144" t="s">
        <v>15</v>
      </c>
      <c r="C144" t="s">
        <v>59</v>
      </c>
      <c r="D144" t="s">
        <v>67</v>
      </c>
      <c r="E144">
        <v>50.2</v>
      </c>
      <c r="F144" t="s">
        <v>189</v>
      </c>
    </row>
    <row r="145" spans="1:6" x14ac:dyDescent="0.2">
      <c r="A145" t="s">
        <v>3</v>
      </c>
      <c r="B145" t="s">
        <v>15</v>
      </c>
      <c r="C145" t="s">
        <v>59</v>
      </c>
      <c r="D145" t="s">
        <v>67</v>
      </c>
      <c r="E145">
        <v>87.2</v>
      </c>
      <c r="F145" t="s">
        <v>190</v>
      </c>
    </row>
    <row r="146" spans="1:6" x14ac:dyDescent="0.2">
      <c r="A146" t="s">
        <v>4</v>
      </c>
      <c r="B146" t="s">
        <v>15</v>
      </c>
      <c r="C146" t="s">
        <v>59</v>
      </c>
      <c r="D146" t="s">
        <v>67</v>
      </c>
      <c r="E146">
        <v>73.5</v>
      </c>
      <c r="F146" t="s">
        <v>189</v>
      </c>
    </row>
    <row r="147" spans="1:6" x14ac:dyDescent="0.2">
      <c r="A147" t="s">
        <v>0</v>
      </c>
      <c r="B147" t="s">
        <v>15</v>
      </c>
      <c r="C147" t="s">
        <v>60</v>
      </c>
      <c r="D147" t="s">
        <v>67</v>
      </c>
      <c r="E147">
        <v>84.5</v>
      </c>
      <c r="F147" t="s">
        <v>190</v>
      </c>
    </row>
    <row r="148" spans="1:6" x14ac:dyDescent="0.2">
      <c r="A148" t="s">
        <v>1</v>
      </c>
      <c r="B148" t="s">
        <v>15</v>
      </c>
      <c r="C148" t="s">
        <v>60</v>
      </c>
      <c r="D148" t="s">
        <v>67</v>
      </c>
      <c r="E148">
        <v>69.599999999999994</v>
      </c>
      <c r="F148" t="s">
        <v>189</v>
      </c>
    </row>
    <row r="149" spans="1:6" x14ac:dyDescent="0.2">
      <c r="A149" t="s">
        <v>2</v>
      </c>
      <c r="B149" t="s">
        <v>15</v>
      </c>
      <c r="C149" t="s">
        <v>60</v>
      </c>
      <c r="D149" t="s">
        <v>67</v>
      </c>
      <c r="E149">
        <v>83</v>
      </c>
      <c r="F149" t="s">
        <v>189</v>
      </c>
    </row>
    <row r="150" spans="1:6" x14ac:dyDescent="0.2">
      <c r="A150" t="s">
        <v>3</v>
      </c>
      <c r="B150" t="s">
        <v>15</v>
      </c>
      <c r="C150" t="s">
        <v>60</v>
      </c>
      <c r="D150" t="s">
        <v>67</v>
      </c>
      <c r="E150">
        <v>44.1</v>
      </c>
      <c r="F150" t="s">
        <v>191</v>
      </c>
    </row>
    <row r="151" spans="1:6" x14ac:dyDescent="0.2">
      <c r="A151" t="s">
        <v>4</v>
      </c>
      <c r="B151" t="s">
        <v>15</v>
      </c>
      <c r="C151" t="s">
        <v>60</v>
      </c>
      <c r="D151" t="s">
        <v>67</v>
      </c>
      <c r="E151">
        <v>53</v>
      </c>
      <c r="F151" t="s">
        <v>189</v>
      </c>
    </row>
    <row r="152" spans="1:6" x14ac:dyDescent="0.2">
      <c r="A152" t="s">
        <v>0</v>
      </c>
      <c r="B152" t="s">
        <v>15</v>
      </c>
      <c r="C152" t="s">
        <v>61</v>
      </c>
      <c r="D152" t="s">
        <v>67</v>
      </c>
      <c r="E152">
        <v>72.900000000000006</v>
      </c>
      <c r="F152" t="s">
        <v>189</v>
      </c>
    </row>
    <row r="153" spans="1:6" x14ac:dyDescent="0.2">
      <c r="A153" t="s">
        <v>1</v>
      </c>
      <c r="B153" t="s">
        <v>15</v>
      </c>
      <c r="C153" t="s">
        <v>61</v>
      </c>
      <c r="D153" t="s">
        <v>67</v>
      </c>
      <c r="E153">
        <v>77.3</v>
      </c>
      <c r="F153" t="s">
        <v>189</v>
      </c>
    </row>
    <row r="154" spans="1:6" x14ac:dyDescent="0.2">
      <c r="A154" t="s">
        <v>2</v>
      </c>
      <c r="B154" t="s">
        <v>15</v>
      </c>
      <c r="C154" t="s">
        <v>61</v>
      </c>
      <c r="D154" t="s">
        <v>67</v>
      </c>
      <c r="E154">
        <v>66</v>
      </c>
      <c r="F154" t="s">
        <v>189</v>
      </c>
    </row>
    <row r="155" spans="1:6" x14ac:dyDescent="0.2">
      <c r="A155" t="s">
        <v>3</v>
      </c>
      <c r="B155" t="s">
        <v>15</v>
      </c>
      <c r="C155" t="s">
        <v>61</v>
      </c>
      <c r="D155" t="s">
        <v>67</v>
      </c>
      <c r="E155">
        <v>64.400000000000006</v>
      </c>
      <c r="F155" t="s">
        <v>189</v>
      </c>
    </row>
    <row r="156" spans="1:6" x14ac:dyDescent="0.2">
      <c r="A156" t="s">
        <v>4</v>
      </c>
      <c r="B156" t="s">
        <v>15</v>
      </c>
      <c r="C156" t="s">
        <v>61</v>
      </c>
      <c r="D156" t="s">
        <v>67</v>
      </c>
      <c r="E156">
        <v>83.7</v>
      </c>
      <c r="F156" t="s">
        <v>190</v>
      </c>
    </row>
    <row r="157" spans="1:6" x14ac:dyDescent="0.2">
      <c r="A157" t="s">
        <v>0</v>
      </c>
      <c r="B157" t="s">
        <v>15</v>
      </c>
      <c r="C157" t="s">
        <v>62</v>
      </c>
      <c r="D157" t="s">
        <v>67</v>
      </c>
      <c r="E157">
        <v>80.7</v>
      </c>
      <c r="F157" t="s">
        <v>189</v>
      </c>
    </row>
    <row r="158" spans="1:6" x14ac:dyDescent="0.2">
      <c r="A158" t="s">
        <v>1</v>
      </c>
      <c r="B158" t="s">
        <v>15</v>
      </c>
      <c r="C158" t="s">
        <v>62</v>
      </c>
      <c r="D158" t="s">
        <v>67</v>
      </c>
      <c r="E158">
        <v>67.3</v>
      </c>
      <c r="F158" t="s">
        <v>189</v>
      </c>
    </row>
    <row r="159" spans="1:6" x14ac:dyDescent="0.2">
      <c r="A159" t="s">
        <v>2</v>
      </c>
      <c r="B159" t="s">
        <v>15</v>
      </c>
      <c r="C159" t="s">
        <v>62</v>
      </c>
      <c r="D159" t="s">
        <v>67</v>
      </c>
      <c r="E159">
        <v>85.8</v>
      </c>
      <c r="F159" t="s">
        <v>190</v>
      </c>
    </row>
    <row r="160" spans="1:6" x14ac:dyDescent="0.2">
      <c r="A160" t="s">
        <v>3</v>
      </c>
      <c r="B160" t="s">
        <v>15</v>
      </c>
      <c r="C160" t="s">
        <v>62</v>
      </c>
      <c r="D160" t="s">
        <v>67</v>
      </c>
      <c r="E160">
        <v>47.7</v>
      </c>
      <c r="F160" t="s">
        <v>191</v>
      </c>
    </row>
    <row r="161" spans="1:6" x14ac:dyDescent="0.2">
      <c r="A161" t="s">
        <v>4</v>
      </c>
      <c r="B161" t="s">
        <v>15</v>
      </c>
      <c r="C161" t="s">
        <v>62</v>
      </c>
      <c r="D161" t="s">
        <v>67</v>
      </c>
      <c r="E161">
        <v>59.7</v>
      </c>
      <c r="F161" t="s">
        <v>189</v>
      </c>
    </row>
    <row r="162" spans="1:6" x14ac:dyDescent="0.2">
      <c r="A162" t="s">
        <v>0</v>
      </c>
      <c r="B162" t="s">
        <v>15</v>
      </c>
      <c r="C162" t="s">
        <v>55</v>
      </c>
      <c r="D162" t="s">
        <v>68</v>
      </c>
      <c r="E162">
        <v>80.2</v>
      </c>
      <c r="F162" t="s">
        <v>189</v>
      </c>
    </row>
    <row r="163" spans="1:6" x14ac:dyDescent="0.2">
      <c r="A163" t="s">
        <v>1</v>
      </c>
      <c r="B163" t="s">
        <v>15</v>
      </c>
      <c r="C163" t="s">
        <v>55</v>
      </c>
      <c r="D163" t="s">
        <v>68</v>
      </c>
      <c r="E163">
        <v>76.599999999999994</v>
      </c>
      <c r="F163" t="s">
        <v>189</v>
      </c>
    </row>
    <row r="164" spans="1:6" x14ac:dyDescent="0.2">
      <c r="A164" t="s">
        <v>2</v>
      </c>
      <c r="B164" t="s">
        <v>15</v>
      </c>
      <c r="C164" t="s">
        <v>55</v>
      </c>
      <c r="D164" t="s">
        <v>68</v>
      </c>
      <c r="E164">
        <v>79.2</v>
      </c>
      <c r="F164" t="s">
        <v>189</v>
      </c>
    </row>
    <row r="165" spans="1:6" x14ac:dyDescent="0.2">
      <c r="A165" t="s">
        <v>3</v>
      </c>
      <c r="B165" t="s">
        <v>15</v>
      </c>
      <c r="C165" t="s">
        <v>55</v>
      </c>
      <c r="D165" t="s">
        <v>68</v>
      </c>
      <c r="E165">
        <v>71.400000000000006</v>
      </c>
      <c r="F165" t="s">
        <v>189</v>
      </c>
    </row>
    <row r="166" spans="1:6" x14ac:dyDescent="0.2">
      <c r="A166" t="s">
        <v>4</v>
      </c>
      <c r="B166" t="s">
        <v>15</v>
      </c>
      <c r="C166" t="s">
        <v>55</v>
      </c>
      <c r="D166" t="s">
        <v>68</v>
      </c>
      <c r="E166">
        <v>69.5</v>
      </c>
      <c r="F166" t="s">
        <v>189</v>
      </c>
    </row>
    <row r="167" spans="1:6" x14ac:dyDescent="0.2">
      <c r="A167" t="s">
        <v>0</v>
      </c>
      <c r="B167" t="s">
        <v>15</v>
      </c>
      <c r="C167" t="s">
        <v>56</v>
      </c>
      <c r="D167" t="s">
        <v>68</v>
      </c>
      <c r="E167">
        <v>79.5</v>
      </c>
      <c r="F167" t="s">
        <v>189</v>
      </c>
    </row>
    <row r="168" spans="1:6" x14ac:dyDescent="0.2">
      <c r="A168" t="s">
        <v>1</v>
      </c>
      <c r="B168" t="s">
        <v>15</v>
      </c>
      <c r="C168" t="s">
        <v>56</v>
      </c>
      <c r="D168" t="s">
        <v>68</v>
      </c>
      <c r="E168">
        <v>68.2</v>
      </c>
      <c r="F168" t="s">
        <v>189</v>
      </c>
    </row>
    <row r="169" spans="1:6" x14ac:dyDescent="0.2">
      <c r="A169" t="s">
        <v>2</v>
      </c>
      <c r="B169" t="s">
        <v>15</v>
      </c>
      <c r="C169" t="s">
        <v>56</v>
      </c>
      <c r="D169" t="s">
        <v>68</v>
      </c>
      <c r="E169">
        <v>88.3</v>
      </c>
      <c r="F169" t="s">
        <v>190</v>
      </c>
    </row>
    <row r="170" spans="1:6" x14ac:dyDescent="0.2">
      <c r="A170" t="s">
        <v>3</v>
      </c>
      <c r="B170" t="s">
        <v>15</v>
      </c>
      <c r="C170" t="s">
        <v>56</v>
      </c>
      <c r="D170" t="s">
        <v>68</v>
      </c>
      <c r="E170">
        <v>53</v>
      </c>
      <c r="F170" t="s">
        <v>189</v>
      </c>
    </row>
    <row r="171" spans="1:6" x14ac:dyDescent="0.2">
      <c r="A171" t="s">
        <v>4</v>
      </c>
      <c r="B171" t="s">
        <v>15</v>
      </c>
      <c r="C171" t="s">
        <v>56</v>
      </c>
      <c r="D171" t="s">
        <v>68</v>
      </c>
      <c r="E171">
        <v>64.7</v>
      </c>
      <c r="F171" t="s">
        <v>189</v>
      </c>
    </row>
    <row r="172" spans="1:6" x14ac:dyDescent="0.2">
      <c r="A172" t="s">
        <v>0</v>
      </c>
      <c r="B172" t="s">
        <v>15</v>
      </c>
      <c r="C172" t="s">
        <v>57</v>
      </c>
      <c r="D172" t="s">
        <v>68</v>
      </c>
      <c r="E172">
        <v>66.400000000000006</v>
      </c>
      <c r="F172" t="s">
        <v>189</v>
      </c>
    </row>
    <row r="173" spans="1:6" x14ac:dyDescent="0.2">
      <c r="A173" t="s">
        <v>1</v>
      </c>
      <c r="B173" t="s">
        <v>15</v>
      </c>
      <c r="C173" t="s">
        <v>57</v>
      </c>
      <c r="D173" t="s">
        <v>68</v>
      </c>
      <c r="E173">
        <v>69.099999999999994</v>
      </c>
      <c r="F173" t="s">
        <v>189</v>
      </c>
    </row>
    <row r="174" spans="1:6" x14ac:dyDescent="0.2">
      <c r="A174" t="s">
        <v>2</v>
      </c>
      <c r="B174" t="s">
        <v>15</v>
      </c>
      <c r="C174" t="s">
        <v>57</v>
      </c>
      <c r="D174" t="s">
        <v>68</v>
      </c>
      <c r="E174">
        <v>62.7</v>
      </c>
      <c r="F174" t="s">
        <v>189</v>
      </c>
    </row>
    <row r="175" spans="1:6" x14ac:dyDescent="0.2">
      <c r="A175" t="s">
        <v>3</v>
      </c>
      <c r="B175" t="s">
        <v>15</v>
      </c>
      <c r="C175" t="s">
        <v>57</v>
      </c>
      <c r="D175" t="s">
        <v>68</v>
      </c>
      <c r="E175">
        <v>69.8</v>
      </c>
      <c r="F175" t="s">
        <v>189</v>
      </c>
    </row>
    <row r="176" spans="1:6" x14ac:dyDescent="0.2">
      <c r="A176" t="s">
        <v>4</v>
      </c>
      <c r="B176" t="s">
        <v>15</v>
      </c>
      <c r="C176" t="s">
        <v>57</v>
      </c>
      <c r="D176" t="s">
        <v>68</v>
      </c>
      <c r="E176">
        <v>66.099999999999994</v>
      </c>
      <c r="F176" t="s">
        <v>189</v>
      </c>
    </row>
    <row r="177" spans="1:6" x14ac:dyDescent="0.2">
      <c r="A177" t="s">
        <v>0</v>
      </c>
      <c r="B177" t="s">
        <v>15</v>
      </c>
      <c r="C177" t="s">
        <v>58</v>
      </c>
      <c r="D177" t="s">
        <v>68</v>
      </c>
      <c r="E177">
        <v>74.8</v>
      </c>
      <c r="F177" t="s">
        <v>190</v>
      </c>
    </row>
    <row r="178" spans="1:6" x14ac:dyDescent="0.2">
      <c r="A178" t="s">
        <v>1</v>
      </c>
      <c r="B178" t="s">
        <v>15</v>
      </c>
      <c r="C178" t="s">
        <v>58</v>
      </c>
      <c r="D178" t="s">
        <v>68</v>
      </c>
      <c r="E178">
        <v>62.6</v>
      </c>
      <c r="F178" t="s">
        <v>189</v>
      </c>
    </row>
    <row r="179" spans="1:6" x14ac:dyDescent="0.2">
      <c r="A179" t="s">
        <v>2</v>
      </c>
      <c r="B179" t="s">
        <v>15</v>
      </c>
      <c r="C179" t="s">
        <v>58</v>
      </c>
      <c r="D179" t="s">
        <v>68</v>
      </c>
      <c r="E179">
        <v>68.5</v>
      </c>
      <c r="F179" t="s">
        <v>189</v>
      </c>
    </row>
    <row r="180" spans="1:6" x14ac:dyDescent="0.2">
      <c r="A180" t="s">
        <v>3</v>
      </c>
      <c r="B180" t="s">
        <v>15</v>
      </c>
      <c r="C180" t="s">
        <v>58</v>
      </c>
      <c r="D180" t="s">
        <v>68</v>
      </c>
      <c r="E180">
        <v>57.8</v>
      </c>
      <c r="F180" t="s">
        <v>189</v>
      </c>
    </row>
    <row r="181" spans="1:6" x14ac:dyDescent="0.2">
      <c r="A181" t="s">
        <v>4</v>
      </c>
      <c r="B181" t="s">
        <v>15</v>
      </c>
      <c r="C181" t="s">
        <v>58</v>
      </c>
      <c r="D181" t="s">
        <v>68</v>
      </c>
      <c r="E181">
        <v>56.5</v>
      </c>
      <c r="F181" t="s">
        <v>189</v>
      </c>
    </row>
    <row r="182" spans="1:6" x14ac:dyDescent="0.2">
      <c r="A182" t="s">
        <v>0</v>
      </c>
      <c r="B182" t="s">
        <v>15</v>
      </c>
      <c r="C182" t="s">
        <v>59</v>
      </c>
      <c r="D182" t="s">
        <v>68</v>
      </c>
      <c r="E182">
        <v>58.2</v>
      </c>
      <c r="F182" t="s">
        <v>189</v>
      </c>
    </row>
    <row r="183" spans="1:6" x14ac:dyDescent="0.2">
      <c r="A183" t="s">
        <v>1</v>
      </c>
      <c r="B183" t="s">
        <v>15</v>
      </c>
      <c r="C183" t="s">
        <v>59</v>
      </c>
      <c r="D183" t="s">
        <v>68</v>
      </c>
      <c r="E183">
        <v>60.8</v>
      </c>
      <c r="F183" t="s">
        <v>189</v>
      </c>
    </row>
    <row r="184" spans="1:6" x14ac:dyDescent="0.2">
      <c r="A184" t="s">
        <v>2</v>
      </c>
      <c r="B184" t="s">
        <v>15</v>
      </c>
      <c r="C184" t="s">
        <v>59</v>
      </c>
      <c r="D184" t="s">
        <v>68</v>
      </c>
      <c r="E184">
        <v>50.8</v>
      </c>
      <c r="F184" t="s">
        <v>189</v>
      </c>
    </row>
    <row r="185" spans="1:6" x14ac:dyDescent="0.2">
      <c r="A185" t="s">
        <v>3</v>
      </c>
      <c r="B185" t="s">
        <v>15</v>
      </c>
      <c r="C185" t="s">
        <v>59</v>
      </c>
      <c r="D185" t="s">
        <v>68</v>
      </c>
      <c r="E185">
        <v>82.8</v>
      </c>
      <c r="F185" t="s">
        <v>190</v>
      </c>
    </row>
    <row r="186" spans="1:6" x14ac:dyDescent="0.2">
      <c r="A186" t="s">
        <v>4</v>
      </c>
      <c r="B186" t="s">
        <v>15</v>
      </c>
      <c r="C186" t="s">
        <v>59</v>
      </c>
      <c r="D186" t="s">
        <v>68</v>
      </c>
      <c r="E186">
        <v>70.599999999999994</v>
      </c>
      <c r="F186" t="s">
        <v>189</v>
      </c>
    </row>
    <row r="187" spans="1:6" x14ac:dyDescent="0.2">
      <c r="A187" t="s">
        <v>0</v>
      </c>
      <c r="B187" t="s">
        <v>15</v>
      </c>
      <c r="C187" t="s">
        <v>60</v>
      </c>
      <c r="D187" t="s">
        <v>68</v>
      </c>
      <c r="E187">
        <v>85.7</v>
      </c>
      <c r="F187" t="s">
        <v>190</v>
      </c>
    </row>
    <row r="188" spans="1:6" x14ac:dyDescent="0.2">
      <c r="A188" t="s">
        <v>1</v>
      </c>
      <c r="B188" t="s">
        <v>15</v>
      </c>
      <c r="C188" t="s">
        <v>60</v>
      </c>
      <c r="D188" t="s">
        <v>68</v>
      </c>
      <c r="E188">
        <v>70.5</v>
      </c>
      <c r="F188" t="s">
        <v>189</v>
      </c>
    </row>
    <row r="189" spans="1:6" x14ac:dyDescent="0.2">
      <c r="A189" t="s">
        <v>2</v>
      </c>
      <c r="B189" t="s">
        <v>15</v>
      </c>
      <c r="C189" t="s">
        <v>60</v>
      </c>
      <c r="D189" t="s">
        <v>68</v>
      </c>
      <c r="E189">
        <v>83.5</v>
      </c>
      <c r="F189" t="s">
        <v>189</v>
      </c>
    </row>
    <row r="190" spans="1:6" x14ac:dyDescent="0.2">
      <c r="A190" t="s">
        <v>3</v>
      </c>
      <c r="B190" t="s">
        <v>15</v>
      </c>
      <c r="C190" t="s">
        <v>60</v>
      </c>
      <c r="D190" t="s">
        <v>68</v>
      </c>
      <c r="E190">
        <v>44.7</v>
      </c>
      <c r="F190" t="s">
        <v>191</v>
      </c>
    </row>
    <row r="191" spans="1:6" x14ac:dyDescent="0.2">
      <c r="A191" t="s">
        <v>4</v>
      </c>
      <c r="B191" t="s">
        <v>15</v>
      </c>
      <c r="C191" t="s">
        <v>60</v>
      </c>
      <c r="D191" t="s">
        <v>68</v>
      </c>
      <c r="E191">
        <v>55.4</v>
      </c>
      <c r="F191" t="s">
        <v>189</v>
      </c>
    </row>
    <row r="192" spans="1:6" x14ac:dyDescent="0.2">
      <c r="A192" t="s">
        <v>0</v>
      </c>
      <c r="B192" t="s">
        <v>15</v>
      </c>
      <c r="C192" t="s">
        <v>61</v>
      </c>
      <c r="D192" t="s">
        <v>68</v>
      </c>
      <c r="E192">
        <v>72.8</v>
      </c>
      <c r="F192" t="s">
        <v>189</v>
      </c>
    </row>
    <row r="193" spans="1:6" x14ac:dyDescent="0.2">
      <c r="A193" t="s">
        <v>1</v>
      </c>
      <c r="B193" t="s">
        <v>15</v>
      </c>
      <c r="C193" t="s">
        <v>61</v>
      </c>
      <c r="D193" t="s">
        <v>68</v>
      </c>
      <c r="E193">
        <v>80.8</v>
      </c>
      <c r="F193" t="s">
        <v>189</v>
      </c>
    </row>
    <row r="194" spans="1:6" x14ac:dyDescent="0.2">
      <c r="A194" t="s">
        <v>2</v>
      </c>
      <c r="B194" t="s">
        <v>15</v>
      </c>
      <c r="C194" t="s">
        <v>61</v>
      </c>
      <c r="D194" t="s">
        <v>68</v>
      </c>
      <c r="E194">
        <v>71</v>
      </c>
      <c r="F194" t="s">
        <v>189</v>
      </c>
    </row>
    <row r="195" spans="1:6" x14ac:dyDescent="0.2">
      <c r="A195" t="s">
        <v>3</v>
      </c>
      <c r="B195" t="s">
        <v>15</v>
      </c>
      <c r="C195" t="s">
        <v>61</v>
      </c>
      <c r="D195" t="s">
        <v>68</v>
      </c>
      <c r="E195">
        <v>67.099999999999994</v>
      </c>
      <c r="F195" t="s">
        <v>189</v>
      </c>
    </row>
    <row r="196" spans="1:6" x14ac:dyDescent="0.2">
      <c r="A196" t="s">
        <v>4</v>
      </c>
      <c r="B196" t="s">
        <v>15</v>
      </c>
      <c r="C196" t="s">
        <v>61</v>
      </c>
      <c r="D196" t="s">
        <v>68</v>
      </c>
      <c r="E196">
        <v>84.3</v>
      </c>
      <c r="F196" t="s">
        <v>190</v>
      </c>
    </row>
    <row r="197" spans="1:6" x14ac:dyDescent="0.2">
      <c r="A197" t="s">
        <v>0</v>
      </c>
      <c r="B197" t="s">
        <v>15</v>
      </c>
      <c r="C197" t="s">
        <v>62</v>
      </c>
      <c r="D197" t="s">
        <v>68</v>
      </c>
      <c r="E197">
        <v>81.599999999999994</v>
      </c>
      <c r="F197" t="s">
        <v>189</v>
      </c>
    </row>
    <row r="198" spans="1:6" x14ac:dyDescent="0.2">
      <c r="A198" t="s">
        <v>1</v>
      </c>
      <c r="B198" t="s">
        <v>15</v>
      </c>
      <c r="C198" t="s">
        <v>62</v>
      </c>
      <c r="D198" t="s">
        <v>68</v>
      </c>
      <c r="E198">
        <v>64.5</v>
      </c>
      <c r="F198" t="s">
        <v>189</v>
      </c>
    </row>
    <row r="199" spans="1:6" x14ac:dyDescent="0.2">
      <c r="A199" t="s">
        <v>2</v>
      </c>
      <c r="B199" t="s">
        <v>15</v>
      </c>
      <c r="C199" t="s">
        <v>62</v>
      </c>
      <c r="D199" t="s">
        <v>68</v>
      </c>
      <c r="E199">
        <v>86.8</v>
      </c>
      <c r="F199" t="s">
        <v>190</v>
      </c>
    </row>
    <row r="200" spans="1:6" x14ac:dyDescent="0.2">
      <c r="A200" t="s">
        <v>3</v>
      </c>
      <c r="B200" t="s">
        <v>15</v>
      </c>
      <c r="C200" t="s">
        <v>62</v>
      </c>
      <c r="D200" t="s">
        <v>68</v>
      </c>
      <c r="E200">
        <v>51.2</v>
      </c>
      <c r="F200" t="s">
        <v>189</v>
      </c>
    </row>
    <row r="201" spans="1:6" x14ac:dyDescent="0.2">
      <c r="A201" t="s">
        <v>4</v>
      </c>
      <c r="B201" t="s">
        <v>15</v>
      </c>
      <c r="C201" t="s">
        <v>62</v>
      </c>
      <c r="D201" t="s">
        <v>68</v>
      </c>
      <c r="E201">
        <v>59.3</v>
      </c>
      <c r="F201" t="s">
        <v>189</v>
      </c>
    </row>
    <row r="202" spans="1:6" x14ac:dyDescent="0.2">
      <c r="A202" t="s">
        <v>0</v>
      </c>
      <c r="B202" t="s">
        <v>15</v>
      </c>
      <c r="C202" t="s">
        <v>55</v>
      </c>
      <c r="D202" t="s">
        <v>69</v>
      </c>
      <c r="E202">
        <v>84</v>
      </c>
      <c r="F202" t="s">
        <v>190</v>
      </c>
    </row>
    <row r="203" spans="1:6" x14ac:dyDescent="0.2">
      <c r="A203" t="s">
        <v>1</v>
      </c>
      <c r="B203" t="s">
        <v>15</v>
      </c>
      <c r="C203" t="s">
        <v>55</v>
      </c>
      <c r="D203" t="s">
        <v>69</v>
      </c>
      <c r="E203">
        <v>73.400000000000006</v>
      </c>
      <c r="F203" t="s">
        <v>189</v>
      </c>
    </row>
    <row r="204" spans="1:6" x14ac:dyDescent="0.2">
      <c r="A204" t="s">
        <v>2</v>
      </c>
      <c r="B204" t="s">
        <v>15</v>
      </c>
      <c r="C204" t="s">
        <v>55</v>
      </c>
      <c r="D204" t="s">
        <v>69</v>
      </c>
      <c r="E204">
        <v>80.2</v>
      </c>
      <c r="F204" t="s">
        <v>189</v>
      </c>
    </row>
    <row r="205" spans="1:6" x14ac:dyDescent="0.2">
      <c r="A205" t="s">
        <v>3</v>
      </c>
      <c r="B205" t="s">
        <v>15</v>
      </c>
      <c r="C205" t="s">
        <v>55</v>
      </c>
      <c r="D205" t="s">
        <v>69</v>
      </c>
      <c r="E205">
        <v>71.099999999999994</v>
      </c>
      <c r="F205" t="s">
        <v>189</v>
      </c>
    </row>
    <row r="206" spans="1:6" x14ac:dyDescent="0.2">
      <c r="A206" t="s">
        <v>4</v>
      </c>
      <c r="B206" t="s">
        <v>15</v>
      </c>
      <c r="C206" t="s">
        <v>55</v>
      </c>
      <c r="D206" t="s">
        <v>69</v>
      </c>
      <c r="E206">
        <v>67.7</v>
      </c>
      <c r="F206" t="s">
        <v>189</v>
      </c>
    </row>
    <row r="207" spans="1:6" x14ac:dyDescent="0.2">
      <c r="A207" t="s">
        <v>0</v>
      </c>
      <c r="B207" t="s">
        <v>15</v>
      </c>
      <c r="C207" t="s">
        <v>56</v>
      </c>
      <c r="D207" t="s">
        <v>69</v>
      </c>
      <c r="E207">
        <v>80.599999999999994</v>
      </c>
      <c r="F207" t="s">
        <v>189</v>
      </c>
    </row>
    <row r="208" spans="1:6" x14ac:dyDescent="0.2">
      <c r="A208" t="s">
        <v>1</v>
      </c>
      <c r="B208" t="s">
        <v>15</v>
      </c>
      <c r="C208" t="s">
        <v>56</v>
      </c>
      <c r="D208" t="s">
        <v>69</v>
      </c>
      <c r="E208">
        <v>69.8</v>
      </c>
      <c r="F208" t="s">
        <v>189</v>
      </c>
    </row>
    <row r="209" spans="1:6" x14ac:dyDescent="0.2">
      <c r="A209" t="s">
        <v>2</v>
      </c>
      <c r="B209" t="s">
        <v>15</v>
      </c>
      <c r="C209" t="s">
        <v>56</v>
      </c>
      <c r="D209" t="s">
        <v>69</v>
      </c>
      <c r="E209">
        <v>88.8</v>
      </c>
      <c r="F209" t="s">
        <v>190</v>
      </c>
    </row>
    <row r="210" spans="1:6" x14ac:dyDescent="0.2">
      <c r="A210" t="s">
        <v>3</v>
      </c>
      <c r="B210" t="s">
        <v>15</v>
      </c>
      <c r="C210" t="s">
        <v>56</v>
      </c>
      <c r="D210" t="s">
        <v>69</v>
      </c>
      <c r="E210">
        <v>53.4</v>
      </c>
      <c r="F210" t="s">
        <v>189</v>
      </c>
    </row>
    <row r="211" spans="1:6" x14ac:dyDescent="0.2">
      <c r="A211" t="s">
        <v>4</v>
      </c>
      <c r="B211" t="s">
        <v>15</v>
      </c>
      <c r="C211" t="s">
        <v>56</v>
      </c>
      <c r="D211" t="s">
        <v>69</v>
      </c>
      <c r="E211">
        <v>60</v>
      </c>
      <c r="F211" t="s">
        <v>189</v>
      </c>
    </row>
    <row r="212" spans="1:6" x14ac:dyDescent="0.2">
      <c r="A212" t="s">
        <v>0</v>
      </c>
      <c r="B212" t="s">
        <v>15</v>
      </c>
      <c r="C212" t="s">
        <v>57</v>
      </c>
      <c r="D212" t="s">
        <v>69</v>
      </c>
      <c r="E212">
        <v>64.900000000000006</v>
      </c>
      <c r="F212" t="s">
        <v>189</v>
      </c>
    </row>
    <row r="213" spans="1:6" x14ac:dyDescent="0.2">
      <c r="A213" t="s">
        <v>1</v>
      </c>
      <c r="B213" t="s">
        <v>15</v>
      </c>
      <c r="C213" t="s">
        <v>57</v>
      </c>
      <c r="D213" t="s">
        <v>69</v>
      </c>
      <c r="E213">
        <v>69.099999999999994</v>
      </c>
      <c r="F213" t="s">
        <v>189</v>
      </c>
    </row>
    <row r="214" spans="1:6" x14ac:dyDescent="0.2">
      <c r="A214" t="s">
        <v>2</v>
      </c>
      <c r="B214" t="s">
        <v>15</v>
      </c>
      <c r="C214" t="s">
        <v>57</v>
      </c>
      <c r="D214" t="s">
        <v>69</v>
      </c>
      <c r="E214">
        <v>60.5</v>
      </c>
      <c r="F214" t="s">
        <v>189</v>
      </c>
    </row>
    <row r="215" spans="1:6" x14ac:dyDescent="0.2">
      <c r="A215" t="s">
        <v>3</v>
      </c>
      <c r="B215" t="s">
        <v>15</v>
      </c>
      <c r="C215" t="s">
        <v>57</v>
      </c>
      <c r="D215" t="s">
        <v>69</v>
      </c>
      <c r="E215">
        <v>71.5</v>
      </c>
      <c r="F215" t="s">
        <v>189</v>
      </c>
    </row>
    <row r="216" spans="1:6" x14ac:dyDescent="0.2">
      <c r="A216" t="s">
        <v>4</v>
      </c>
      <c r="B216" t="s">
        <v>15</v>
      </c>
      <c r="C216" t="s">
        <v>57</v>
      </c>
      <c r="D216" t="s">
        <v>69</v>
      </c>
      <c r="E216">
        <v>66.7</v>
      </c>
      <c r="F216" t="s">
        <v>189</v>
      </c>
    </row>
    <row r="217" spans="1:6" x14ac:dyDescent="0.2">
      <c r="A217" t="s">
        <v>0</v>
      </c>
      <c r="B217" t="s">
        <v>15</v>
      </c>
      <c r="C217" t="s">
        <v>58</v>
      </c>
      <c r="D217" t="s">
        <v>69</v>
      </c>
      <c r="E217">
        <v>77.400000000000006</v>
      </c>
      <c r="F217" t="s">
        <v>190</v>
      </c>
    </row>
    <row r="218" spans="1:6" x14ac:dyDescent="0.2">
      <c r="A218" t="s">
        <v>1</v>
      </c>
      <c r="B218" t="s">
        <v>15</v>
      </c>
      <c r="C218" t="s">
        <v>58</v>
      </c>
      <c r="D218" t="s">
        <v>69</v>
      </c>
      <c r="E218">
        <v>64</v>
      </c>
      <c r="F218" t="s">
        <v>189</v>
      </c>
    </row>
    <row r="219" spans="1:6" x14ac:dyDescent="0.2">
      <c r="A219" t="s">
        <v>2</v>
      </c>
      <c r="B219" t="s">
        <v>15</v>
      </c>
      <c r="C219" t="s">
        <v>58</v>
      </c>
      <c r="D219" t="s">
        <v>69</v>
      </c>
      <c r="E219">
        <v>67.5</v>
      </c>
      <c r="F219" t="s">
        <v>189</v>
      </c>
    </row>
    <row r="220" spans="1:6" x14ac:dyDescent="0.2">
      <c r="A220" t="s">
        <v>3</v>
      </c>
      <c r="B220" t="s">
        <v>15</v>
      </c>
      <c r="C220" t="s">
        <v>58</v>
      </c>
      <c r="D220" t="s">
        <v>69</v>
      </c>
      <c r="E220">
        <v>58</v>
      </c>
      <c r="F220" t="s">
        <v>189</v>
      </c>
    </row>
    <row r="221" spans="1:6" x14ac:dyDescent="0.2">
      <c r="A221" t="s">
        <v>4</v>
      </c>
      <c r="B221" t="s">
        <v>15</v>
      </c>
      <c r="C221" t="s">
        <v>58</v>
      </c>
      <c r="D221" t="s">
        <v>69</v>
      </c>
      <c r="E221">
        <v>57.2</v>
      </c>
      <c r="F221" t="s">
        <v>189</v>
      </c>
    </row>
    <row r="222" spans="1:6" x14ac:dyDescent="0.2">
      <c r="A222" t="s">
        <v>0</v>
      </c>
      <c r="B222" t="s">
        <v>15</v>
      </c>
      <c r="C222" t="s">
        <v>59</v>
      </c>
      <c r="D222" t="s">
        <v>69</v>
      </c>
      <c r="E222">
        <v>60.3</v>
      </c>
      <c r="F222" t="s">
        <v>189</v>
      </c>
    </row>
    <row r="223" spans="1:6" x14ac:dyDescent="0.2">
      <c r="A223" t="s">
        <v>1</v>
      </c>
      <c r="B223" t="s">
        <v>15</v>
      </c>
      <c r="C223" t="s">
        <v>59</v>
      </c>
      <c r="D223" t="s">
        <v>69</v>
      </c>
      <c r="E223">
        <v>62</v>
      </c>
      <c r="F223" t="s">
        <v>189</v>
      </c>
    </row>
    <row r="224" spans="1:6" x14ac:dyDescent="0.2">
      <c r="A224" t="s">
        <v>2</v>
      </c>
      <c r="B224" t="s">
        <v>15</v>
      </c>
      <c r="C224" t="s">
        <v>59</v>
      </c>
      <c r="D224" t="s">
        <v>69</v>
      </c>
      <c r="E224">
        <v>50</v>
      </c>
      <c r="F224" t="s">
        <v>189</v>
      </c>
    </row>
    <row r="225" spans="1:6" x14ac:dyDescent="0.2">
      <c r="A225" t="s">
        <v>3</v>
      </c>
      <c r="B225" t="s">
        <v>15</v>
      </c>
      <c r="C225" t="s">
        <v>59</v>
      </c>
      <c r="D225" t="s">
        <v>69</v>
      </c>
      <c r="E225">
        <v>84.6</v>
      </c>
      <c r="F225" t="s">
        <v>190</v>
      </c>
    </row>
    <row r="226" spans="1:6" x14ac:dyDescent="0.2">
      <c r="A226" t="s">
        <v>4</v>
      </c>
      <c r="B226" t="s">
        <v>15</v>
      </c>
      <c r="C226" t="s">
        <v>59</v>
      </c>
      <c r="D226" t="s">
        <v>69</v>
      </c>
      <c r="E226">
        <v>72.400000000000006</v>
      </c>
      <c r="F226" t="s">
        <v>189</v>
      </c>
    </row>
    <row r="227" spans="1:6" x14ac:dyDescent="0.2">
      <c r="A227" t="s">
        <v>0</v>
      </c>
      <c r="B227" t="s">
        <v>15</v>
      </c>
      <c r="C227" t="s">
        <v>60</v>
      </c>
      <c r="D227" t="s">
        <v>69</v>
      </c>
      <c r="E227">
        <v>84.9</v>
      </c>
      <c r="F227" t="s">
        <v>190</v>
      </c>
    </row>
    <row r="228" spans="1:6" x14ac:dyDescent="0.2">
      <c r="A228" t="s">
        <v>1</v>
      </c>
      <c r="B228" t="s">
        <v>15</v>
      </c>
      <c r="C228" t="s">
        <v>60</v>
      </c>
      <c r="D228" t="s">
        <v>69</v>
      </c>
      <c r="E228">
        <v>69</v>
      </c>
      <c r="F228" t="s">
        <v>189</v>
      </c>
    </row>
    <row r="229" spans="1:6" x14ac:dyDescent="0.2">
      <c r="A229" t="s">
        <v>2</v>
      </c>
      <c r="B229" t="s">
        <v>15</v>
      </c>
      <c r="C229" t="s">
        <v>60</v>
      </c>
      <c r="D229" t="s">
        <v>69</v>
      </c>
      <c r="E229">
        <v>82.5</v>
      </c>
      <c r="F229" t="s">
        <v>189</v>
      </c>
    </row>
    <row r="230" spans="1:6" x14ac:dyDescent="0.2">
      <c r="A230" t="s">
        <v>3</v>
      </c>
      <c r="B230" t="s">
        <v>15</v>
      </c>
      <c r="C230" t="s">
        <v>60</v>
      </c>
      <c r="D230" t="s">
        <v>69</v>
      </c>
      <c r="E230">
        <v>46.2</v>
      </c>
      <c r="F230" t="s">
        <v>191</v>
      </c>
    </row>
    <row r="231" spans="1:6" x14ac:dyDescent="0.2">
      <c r="A231" t="s">
        <v>4</v>
      </c>
      <c r="B231" t="s">
        <v>15</v>
      </c>
      <c r="C231" t="s">
        <v>60</v>
      </c>
      <c r="D231" t="s">
        <v>69</v>
      </c>
      <c r="E231">
        <v>53.2</v>
      </c>
      <c r="F231" t="s">
        <v>189</v>
      </c>
    </row>
    <row r="232" spans="1:6" x14ac:dyDescent="0.2">
      <c r="A232" t="s">
        <v>0</v>
      </c>
      <c r="B232" t="s">
        <v>15</v>
      </c>
      <c r="C232" t="s">
        <v>61</v>
      </c>
      <c r="D232" t="s">
        <v>69</v>
      </c>
      <c r="E232">
        <v>70</v>
      </c>
      <c r="F232" t="s">
        <v>189</v>
      </c>
    </row>
    <row r="233" spans="1:6" x14ac:dyDescent="0.2">
      <c r="A233" t="s">
        <v>1</v>
      </c>
      <c r="B233" t="s">
        <v>15</v>
      </c>
      <c r="C233" t="s">
        <v>61</v>
      </c>
      <c r="D233" t="s">
        <v>69</v>
      </c>
      <c r="E233">
        <v>79.400000000000006</v>
      </c>
      <c r="F233" t="s">
        <v>189</v>
      </c>
    </row>
    <row r="234" spans="1:6" x14ac:dyDescent="0.2">
      <c r="A234" t="s">
        <v>2</v>
      </c>
      <c r="B234" t="s">
        <v>15</v>
      </c>
      <c r="C234" t="s">
        <v>61</v>
      </c>
      <c r="D234" t="s">
        <v>69</v>
      </c>
      <c r="E234">
        <v>65.3</v>
      </c>
      <c r="F234" t="s">
        <v>189</v>
      </c>
    </row>
    <row r="235" spans="1:6" x14ac:dyDescent="0.2">
      <c r="A235" t="s">
        <v>3</v>
      </c>
      <c r="B235" t="s">
        <v>15</v>
      </c>
      <c r="C235" t="s">
        <v>61</v>
      </c>
      <c r="D235" t="s">
        <v>69</v>
      </c>
      <c r="E235">
        <v>64.5</v>
      </c>
      <c r="F235" t="s">
        <v>189</v>
      </c>
    </row>
    <row r="236" spans="1:6" x14ac:dyDescent="0.2">
      <c r="A236" t="s">
        <v>4</v>
      </c>
      <c r="B236" t="s">
        <v>15</v>
      </c>
      <c r="C236" t="s">
        <v>61</v>
      </c>
      <c r="D236" t="s">
        <v>69</v>
      </c>
      <c r="E236">
        <v>82.4</v>
      </c>
      <c r="F236" t="s">
        <v>190</v>
      </c>
    </row>
    <row r="237" spans="1:6" x14ac:dyDescent="0.2">
      <c r="A237" t="s">
        <v>0</v>
      </c>
      <c r="B237" t="s">
        <v>15</v>
      </c>
      <c r="C237" t="s">
        <v>62</v>
      </c>
      <c r="D237" t="s">
        <v>69</v>
      </c>
      <c r="E237">
        <v>77.400000000000006</v>
      </c>
      <c r="F237" t="s">
        <v>189</v>
      </c>
    </row>
    <row r="238" spans="1:6" x14ac:dyDescent="0.2">
      <c r="A238" t="s">
        <v>1</v>
      </c>
      <c r="B238" t="s">
        <v>15</v>
      </c>
      <c r="C238" t="s">
        <v>62</v>
      </c>
      <c r="D238" t="s">
        <v>69</v>
      </c>
      <c r="E238">
        <v>65.400000000000006</v>
      </c>
      <c r="F238" t="s">
        <v>189</v>
      </c>
    </row>
    <row r="239" spans="1:6" x14ac:dyDescent="0.2">
      <c r="A239" t="s">
        <v>2</v>
      </c>
      <c r="B239" t="s">
        <v>15</v>
      </c>
      <c r="C239" t="s">
        <v>62</v>
      </c>
      <c r="D239" t="s">
        <v>69</v>
      </c>
      <c r="E239">
        <v>82.2</v>
      </c>
      <c r="F239" t="s">
        <v>190</v>
      </c>
    </row>
    <row r="240" spans="1:6" x14ac:dyDescent="0.2">
      <c r="A240" t="s">
        <v>3</v>
      </c>
      <c r="B240" t="s">
        <v>15</v>
      </c>
      <c r="C240" t="s">
        <v>62</v>
      </c>
      <c r="D240" t="s">
        <v>69</v>
      </c>
      <c r="E240">
        <v>51.8</v>
      </c>
      <c r="F240" t="s">
        <v>189</v>
      </c>
    </row>
    <row r="241" spans="1:6" x14ac:dyDescent="0.2">
      <c r="A241" t="s">
        <v>4</v>
      </c>
      <c r="B241" t="s">
        <v>15</v>
      </c>
      <c r="C241" t="s">
        <v>62</v>
      </c>
      <c r="D241" t="s">
        <v>69</v>
      </c>
      <c r="E241">
        <v>61.2</v>
      </c>
      <c r="F241" t="s">
        <v>189</v>
      </c>
    </row>
    <row r="242" spans="1:6" x14ac:dyDescent="0.2">
      <c r="A242" t="s">
        <v>0</v>
      </c>
      <c r="B242" t="s">
        <v>15</v>
      </c>
      <c r="C242" t="s">
        <v>55</v>
      </c>
      <c r="D242" t="s">
        <v>70</v>
      </c>
      <c r="E242">
        <v>82.9</v>
      </c>
      <c r="F242" t="s">
        <v>189</v>
      </c>
    </row>
    <row r="243" spans="1:6" x14ac:dyDescent="0.2">
      <c r="A243" t="s">
        <v>1</v>
      </c>
      <c r="B243" t="s">
        <v>15</v>
      </c>
      <c r="C243" t="s">
        <v>55</v>
      </c>
      <c r="D243" t="s">
        <v>70</v>
      </c>
      <c r="E243">
        <v>76.599999999999994</v>
      </c>
      <c r="F243" t="s">
        <v>189</v>
      </c>
    </row>
    <row r="244" spans="1:6" x14ac:dyDescent="0.2">
      <c r="A244" t="s">
        <v>2</v>
      </c>
      <c r="B244" t="s">
        <v>15</v>
      </c>
      <c r="C244" t="s">
        <v>55</v>
      </c>
      <c r="D244" t="s">
        <v>70</v>
      </c>
      <c r="E244">
        <v>79</v>
      </c>
      <c r="F244" t="s">
        <v>189</v>
      </c>
    </row>
    <row r="245" spans="1:6" x14ac:dyDescent="0.2">
      <c r="A245" t="s">
        <v>3</v>
      </c>
      <c r="B245" t="s">
        <v>15</v>
      </c>
      <c r="C245" t="s">
        <v>55</v>
      </c>
      <c r="D245" t="s">
        <v>70</v>
      </c>
      <c r="E245">
        <v>74.8</v>
      </c>
      <c r="F245" t="s">
        <v>189</v>
      </c>
    </row>
    <row r="246" spans="1:6" x14ac:dyDescent="0.2">
      <c r="A246" t="s">
        <v>4</v>
      </c>
      <c r="B246" t="s">
        <v>15</v>
      </c>
      <c r="C246" t="s">
        <v>55</v>
      </c>
      <c r="D246" t="s">
        <v>70</v>
      </c>
      <c r="E246">
        <v>69.7</v>
      </c>
      <c r="F246" t="s">
        <v>189</v>
      </c>
    </row>
    <row r="247" spans="1:6" x14ac:dyDescent="0.2">
      <c r="A247" t="s">
        <v>0</v>
      </c>
      <c r="B247" t="s">
        <v>15</v>
      </c>
      <c r="C247" t="s">
        <v>56</v>
      </c>
      <c r="D247" t="s">
        <v>70</v>
      </c>
      <c r="E247">
        <v>79.900000000000006</v>
      </c>
      <c r="F247" t="s">
        <v>189</v>
      </c>
    </row>
    <row r="248" spans="1:6" x14ac:dyDescent="0.2">
      <c r="A248" t="s">
        <v>1</v>
      </c>
      <c r="B248" t="s">
        <v>15</v>
      </c>
      <c r="C248" t="s">
        <v>56</v>
      </c>
      <c r="D248" t="s">
        <v>70</v>
      </c>
      <c r="E248">
        <v>70.900000000000006</v>
      </c>
      <c r="F248" t="s">
        <v>189</v>
      </c>
    </row>
    <row r="249" spans="1:6" x14ac:dyDescent="0.2">
      <c r="A249" t="s">
        <v>2</v>
      </c>
      <c r="B249" t="s">
        <v>15</v>
      </c>
      <c r="C249" t="s">
        <v>56</v>
      </c>
      <c r="D249" t="s">
        <v>70</v>
      </c>
      <c r="E249">
        <v>85.3</v>
      </c>
      <c r="F249" t="s">
        <v>190</v>
      </c>
    </row>
    <row r="250" spans="1:6" x14ac:dyDescent="0.2">
      <c r="A250" t="s">
        <v>3</v>
      </c>
      <c r="B250" t="s">
        <v>15</v>
      </c>
      <c r="C250" t="s">
        <v>56</v>
      </c>
      <c r="D250" t="s">
        <v>70</v>
      </c>
      <c r="E250">
        <v>56.4</v>
      </c>
      <c r="F250" t="s">
        <v>189</v>
      </c>
    </row>
    <row r="251" spans="1:6" x14ac:dyDescent="0.2">
      <c r="A251" t="s">
        <v>4</v>
      </c>
      <c r="B251" t="s">
        <v>15</v>
      </c>
      <c r="C251" t="s">
        <v>56</v>
      </c>
      <c r="D251" t="s">
        <v>70</v>
      </c>
      <c r="E251">
        <v>63.8</v>
      </c>
      <c r="F251" t="s">
        <v>189</v>
      </c>
    </row>
    <row r="252" spans="1:6" x14ac:dyDescent="0.2">
      <c r="A252" t="s">
        <v>0</v>
      </c>
      <c r="B252" t="s">
        <v>15</v>
      </c>
      <c r="C252" t="s">
        <v>57</v>
      </c>
      <c r="D252" t="s">
        <v>70</v>
      </c>
      <c r="E252">
        <v>62.5</v>
      </c>
      <c r="F252" t="s">
        <v>189</v>
      </c>
    </row>
    <row r="253" spans="1:6" x14ac:dyDescent="0.2">
      <c r="A253" t="s">
        <v>1</v>
      </c>
      <c r="B253" t="s">
        <v>15</v>
      </c>
      <c r="C253" t="s">
        <v>57</v>
      </c>
      <c r="D253" t="s">
        <v>70</v>
      </c>
      <c r="E253">
        <v>70</v>
      </c>
      <c r="F253" t="s">
        <v>189</v>
      </c>
    </row>
    <row r="254" spans="1:6" x14ac:dyDescent="0.2">
      <c r="A254" t="s">
        <v>2</v>
      </c>
      <c r="B254" t="s">
        <v>15</v>
      </c>
      <c r="C254" t="s">
        <v>57</v>
      </c>
      <c r="D254" t="s">
        <v>70</v>
      </c>
      <c r="E254">
        <v>59.1</v>
      </c>
      <c r="F254" t="s">
        <v>189</v>
      </c>
    </row>
    <row r="255" spans="1:6" x14ac:dyDescent="0.2">
      <c r="A255" t="s">
        <v>3</v>
      </c>
      <c r="B255" t="s">
        <v>15</v>
      </c>
      <c r="C255" t="s">
        <v>57</v>
      </c>
      <c r="D255" t="s">
        <v>70</v>
      </c>
      <c r="E255">
        <v>67.099999999999994</v>
      </c>
      <c r="F255" t="s">
        <v>189</v>
      </c>
    </row>
    <row r="256" spans="1:6" x14ac:dyDescent="0.2">
      <c r="A256" t="s">
        <v>4</v>
      </c>
      <c r="B256" t="s">
        <v>15</v>
      </c>
      <c r="C256" t="s">
        <v>57</v>
      </c>
      <c r="D256" t="s">
        <v>70</v>
      </c>
      <c r="E256">
        <v>70.2</v>
      </c>
      <c r="F256" t="s">
        <v>189</v>
      </c>
    </row>
    <row r="257" spans="1:6" x14ac:dyDescent="0.2">
      <c r="A257" t="s">
        <v>0</v>
      </c>
      <c r="B257" t="s">
        <v>15</v>
      </c>
      <c r="C257" t="s">
        <v>58</v>
      </c>
      <c r="D257" t="s">
        <v>70</v>
      </c>
      <c r="E257">
        <v>76.099999999999994</v>
      </c>
      <c r="F257" t="s">
        <v>190</v>
      </c>
    </row>
    <row r="258" spans="1:6" x14ac:dyDescent="0.2">
      <c r="A258" t="s">
        <v>1</v>
      </c>
      <c r="B258" t="s">
        <v>15</v>
      </c>
      <c r="C258" t="s">
        <v>58</v>
      </c>
      <c r="D258" t="s">
        <v>70</v>
      </c>
      <c r="E258">
        <v>67.2</v>
      </c>
      <c r="F258" t="s">
        <v>189</v>
      </c>
    </row>
    <row r="259" spans="1:6" x14ac:dyDescent="0.2">
      <c r="A259" t="s">
        <v>2</v>
      </c>
      <c r="B259" t="s">
        <v>15</v>
      </c>
      <c r="C259" t="s">
        <v>58</v>
      </c>
      <c r="D259" t="s">
        <v>70</v>
      </c>
      <c r="E259">
        <v>68.8</v>
      </c>
      <c r="F259" t="s">
        <v>189</v>
      </c>
    </row>
    <row r="260" spans="1:6" x14ac:dyDescent="0.2">
      <c r="A260" t="s">
        <v>3</v>
      </c>
      <c r="B260" t="s">
        <v>15</v>
      </c>
      <c r="C260" t="s">
        <v>58</v>
      </c>
      <c r="D260" t="s">
        <v>70</v>
      </c>
      <c r="E260">
        <v>59.3</v>
      </c>
      <c r="F260" t="s">
        <v>189</v>
      </c>
    </row>
    <row r="261" spans="1:6" x14ac:dyDescent="0.2">
      <c r="A261" t="s">
        <v>4</v>
      </c>
      <c r="B261" t="s">
        <v>15</v>
      </c>
      <c r="C261" t="s">
        <v>58</v>
      </c>
      <c r="D261" t="s">
        <v>70</v>
      </c>
      <c r="E261">
        <v>55.5</v>
      </c>
      <c r="F261" t="s">
        <v>189</v>
      </c>
    </row>
    <row r="262" spans="1:6" x14ac:dyDescent="0.2">
      <c r="A262" t="s">
        <v>0</v>
      </c>
      <c r="B262" t="s">
        <v>15</v>
      </c>
      <c r="C262" t="s">
        <v>59</v>
      </c>
      <c r="D262" t="s">
        <v>70</v>
      </c>
      <c r="E262">
        <v>59.3</v>
      </c>
      <c r="F262" t="s">
        <v>189</v>
      </c>
    </row>
    <row r="263" spans="1:6" x14ac:dyDescent="0.2">
      <c r="A263" t="s">
        <v>1</v>
      </c>
      <c r="B263" t="s">
        <v>15</v>
      </c>
      <c r="C263" t="s">
        <v>59</v>
      </c>
      <c r="D263" t="s">
        <v>70</v>
      </c>
      <c r="E263">
        <v>63.3</v>
      </c>
      <c r="F263" t="s">
        <v>189</v>
      </c>
    </row>
    <row r="264" spans="1:6" x14ac:dyDescent="0.2">
      <c r="A264" t="s">
        <v>2</v>
      </c>
      <c r="B264" t="s">
        <v>15</v>
      </c>
      <c r="C264" t="s">
        <v>59</v>
      </c>
      <c r="D264" t="s">
        <v>70</v>
      </c>
      <c r="E264">
        <v>50.1</v>
      </c>
      <c r="F264" t="s">
        <v>189</v>
      </c>
    </row>
    <row r="265" spans="1:6" x14ac:dyDescent="0.2">
      <c r="A265" t="s">
        <v>3</v>
      </c>
      <c r="B265" t="s">
        <v>15</v>
      </c>
      <c r="C265" t="s">
        <v>59</v>
      </c>
      <c r="D265" t="s">
        <v>70</v>
      </c>
      <c r="E265">
        <v>86.1</v>
      </c>
      <c r="F265" t="s">
        <v>190</v>
      </c>
    </row>
    <row r="266" spans="1:6" x14ac:dyDescent="0.2">
      <c r="A266" t="s">
        <v>4</v>
      </c>
      <c r="B266" t="s">
        <v>15</v>
      </c>
      <c r="C266" t="s">
        <v>59</v>
      </c>
      <c r="D266" t="s">
        <v>70</v>
      </c>
      <c r="E266">
        <v>73.900000000000006</v>
      </c>
      <c r="F266" t="s">
        <v>189</v>
      </c>
    </row>
    <row r="267" spans="1:6" x14ac:dyDescent="0.2">
      <c r="A267" t="s">
        <v>0</v>
      </c>
      <c r="B267" t="s">
        <v>15</v>
      </c>
      <c r="C267" t="s">
        <v>60</v>
      </c>
      <c r="D267" t="s">
        <v>70</v>
      </c>
      <c r="E267">
        <v>87</v>
      </c>
      <c r="F267" t="s">
        <v>190</v>
      </c>
    </row>
    <row r="268" spans="1:6" x14ac:dyDescent="0.2">
      <c r="A268" t="s">
        <v>1</v>
      </c>
      <c r="B268" t="s">
        <v>15</v>
      </c>
      <c r="C268" t="s">
        <v>60</v>
      </c>
      <c r="D268" t="s">
        <v>70</v>
      </c>
      <c r="E268">
        <v>70.7</v>
      </c>
      <c r="F268" t="s">
        <v>189</v>
      </c>
    </row>
    <row r="269" spans="1:6" x14ac:dyDescent="0.2">
      <c r="A269" t="s">
        <v>2</v>
      </c>
      <c r="B269" t="s">
        <v>15</v>
      </c>
      <c r="C269" t="s">
        <v>60</v>
      </c>
      <c r="D269" t="s">
        <v>70</v>
      </c>
      <c r="E269">
        <v>80.099999999999994</v>
      </c>
      <c r="F269" t="s">
        <v>189</v>
      </c>
    </row>
    <row r="270" spans="1:6" x14ac:dyDescent="0.2">
      <c r="A270" t="s">
        <v>3</v>
      </c>
      <c r="B270" t="s">
        <v>15</v>
      </c>
      <c r="C270" t="s">
        <v>60</v>
      </c>
      <c r="D270" t="s">
        <v>70</v>
      </c>
      <c r="E270">
        <v>42.6</v>
      </c>
      <c r="F270" t="s">
        <v>191</v>
      </c>
    </row>
    <row r="271" spans="1:6" x14ac:dyDescent="0.2">
      <c r="A271" t="s">
        <v>4</v>
      </c>
      <c r="B271" t="s">
        <v>15</v>
      </c>
      <c r="C271" t="s">
        <v>60</v>
      </c>
      <c r="D271" t="s">
        <v>70</v>
      </c>
      <c r="E271">
        <v>57.3</v>
      </c>
      <c r="F271" t="s">
        <v>189</v>
      </c>
    </row>
    <row r="272" spans="1:6" x14ac:dyDescent="0.2">
      <c r="A272" t="s">
        <v>0</v>
      </c>
      <c r="B272" t="s">
        <v>15</v>
      </c>
      <c r="C272" t="s">
        <v>61</v>
      </c>
      <c r="D272" t="s">
        <v>70</v>
      </c>
      <c r="E272">
        <v>69.900000000000006</v>
      </c>
      <c r="F272" t="s">
        <v>189</v>
      </c>
    </row>
    <row r="273" spans="1:6" x14ac:dyDescent="0.2">
      <c r="A273" t="s">
        <v>1</v>
      </c>
      <c r="B273" t="s">
        <v>15</v>
      </c>
      <c r="C273" t="s">
        <v>61</v>
      </c>
      <c r="D273" t="s">
        <v>70</v>
      </c>
      <c r="E273">
        <v>79.599999999999994</v>
      </c>
      <c r="F273" t="s">
        <v>189</v>
      </c>
    </row>
    <row r="274" spans="1:6" x14ac:dyDescent="0.2">
      <c r="A274" t="s">
        <v>2</v>
      </c>
      <c r="B274" t="s">
        <v>15</v>
      </c>
      <c r="C274" t="s">
        <v>61</v>
      </c>
      <c r="D274" t="s">
        <v>70</v>
      </c>
      <c r="E274">
        <v>65.7</v>
      </c>
      <c r="F274" t="s">
        <v>189</v>
      </c>
    </row>
    <row r="275" spans="1:6" x14ac:dyDescent="0.2">
      <c r="A275" t="s">
        <v>3</v>
      </c>
      <c r="B275" t="s">
        <v>15</v>
      </c>
      <c r="C275" t="s">
        <v>61</v>
      </c>
      <c r="D275" t="s">
        <v>70</v>
      </c>
      <c r="E275">
        <v>66.8</v>
      </c>
      <c r="F275" t="s">
        <v>189</v>
      </c>
    </row>
    <row r="276" spans="1:6" x14ac:dyDescent="0.2">
      <c r="A276" t="s">
        <v>4</v>
      </c>
      <c r="B276" t="s">
        <v>15</v>
      </c>
      <c r="C276" t="s">
        <v>61</v>
      </c>
      <c r="D276" t="s">
        <v>70</v>
      </c>
      <c r="E276">
        <v>84</v>
      </c>
      <c r="F276" t="s">
        <v>190</v>
      </c>
    </row>
    <row r="277" spans="1:6" x14ac:dyDescent="0.2">
      <c r="A277" t="s">
        <v>0</v>
      </c>
      <c r="B277" t="s">
        <v>15</v>
      </c>
      <c r="C277" t="s">
        <v>62</v>
      </c>
      <c r="D277" t="s">
        <v>70</v>
      </c>
      <c r="E277">
        <v>77.5</v>
      </c>
      <c r="F277" t="s">
        <v>189</v>
      </c>
    </row>
    <row r="278" spans="1:6" x14ac:dyDescent="0.2">
      <c r="A278" t="s">
        <v>1</v>
      </c>
      <c r="B278" t="s">
        <v>15</v>
      </c>
      <c r="C278" t="s">
        <v>62</v>
      </c>
      <c r="D278" t="s">
        <v>70</v>
      </c>
      <c r="E278">
        <v>65.7</v>
      </c>
      <c r="F278" t="s">
        <v>189</v>
      </c>
    </row>
    <row r="279" spans="1:6" x14ac:dyDescent="0.2">
      <c r="A279" t="s">
        <v>2</v>
      </c>
      <c r="B279" t="s">
        <v>15</v>
      </c>
      <c r="C279" t="s">
        <v>62</v>
      </c>
      <c r="D279" t="s">
        <v>70</v>
      </c>
      <c r="E279">
        <v>85</v>
      </c>
      <c r="F279" t="s">
        <v>190</v>
      </c>
    </row>
    <row r="280" spans="1:6" x14ac:dyDescent="0.2">
      <c r="A280" t="s">
        <v>3</v>
      </c>
      <c r="B280" t="s">
        <v>15</v>
      </c>
      <c r="C280" t="s">
        <v>62</v>
      </c>
      <c r="D280" t="s">
        <v>70</v>
      </c>
      <c r="E280">
        <v>48.4</v>
      </c>
      <c r="F280" t="s">
        <v>191</v>
      </c>
    </row>
    <row r="281" spans="1:6" x14ac:dyDescent="0.2">
      <c r="A281" t="s">
        <v>4</v>
      </c>
      <c r="B281" t="s">
        <v>15</v>
      </c>
      <c r="C281" t="s">
        <v>62</v>
      </c>
      <c r="D281" t="s">
        <v>70</v>
      </c>
      <c r="E281">
        <v>61.6</v>
      </c>
      <c r="F281" t="s">
        <v>189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F1411"/>
  </sheetPr>
  <dimension ref="A1:D36"/>
  <sheetViews>
    <sheetView workbookViewId="0">
      <pane ySplit="1" topLeftCell="A2" activePane="bottomLeft" state="frozen"/>
      <selection pane="bottomLeft" activeCell="X23" sqref="X23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12" customWidth="1"/>
  </cols>
  <sheetData>
    <row r="1" spans="1:4" ht="28" x14ac:dyDescent="0.2">
      <c r="A1" s="9" t="s">
        <v>237</v>
      </c>
      <c r="B1" s="9" t="s">
        <v>238</v>
      </c>
      <c r="C1" s="9" t="s">
        <v>63</v>
      </c>
      <c r="D1" s="9" t="s">
        <v>304</v>
      </c>
    </row>
    <row r="2" spans="1:4" x14ac:dyDescent="0.2">
      <c r="A2" s="5" t="s">
        <v>0</v>
      </c>
      <c r="B2" s="2" t="s">
        <v>15</v>
      </c>
      <c r="C2" s="2" t="s">
        <v>64</v>
      </c>
      <c r="D2" s="2">
        <v>14.1</v>
      </c>
    </row>
    <row r="3" spans="1:4" x14ac:dyDescent="0.2">
      <c r="A3" s="6" t="s">
        <v>0</v>
      </c>
      <c r="B3" s="3" t="s">
        <v>15</v>
      </c>
      <c r="C3" s="3" t="s">
        <v>65</v>
      </c>
      <c r="D3" s="3">
        <v>14.1</v>
      </c>
    </row>
    <row r="4" spans="1:4" x14ac:dyDescent="0.2">
      <c r="A4" s="5" t="s">
        <v>0</v>
      </c>
      <c r="B4" s="2" t="s">
        <v>15</v>
      </c>
      <c r="C4" s="2" t="s">
        <v>66</v>
      </c>
      <c r="D4" s="2">
        <v>14.5</v>
      </c>
    </row>
    <row r="5" spans="1:4" x14ac:dyDescent="0.2">
      <c r="A5" s="6" t="s">
        <v>0</v>
      </c>
      <c r="B5" s="3" t="s">
        <v>15</v>
      </c>
      <c r="C5" s="3" t="s">
        <v>67</v>
      </c>
      <c r="D5" s="3">
        <v>14.7</v>
      </c>
    </row>
    <row r="6" spans="1:4" x14ac:dyDescent="0.2">
      <c r="A6" s="5" t="s">
        <v>0</v>
      </c>
      <c r="B6" s="2" t="s">
        <v>15</v>
      </c>
      <c r="C6" s="2" t="s">
        <v>68</v>
      </c>
      <c r="D6" s="2">
        <v>14.6</v>
      </c>
    </row>
    <row r="7" spans="1:4" x14ac:dyDescent="0.2">
      <c r="A7" s="6" t="s">
        <v>0</v>
      </c>
      <c r="B7" s="3" t="s">
        <v>15</v>
      </c>
      <c r="C7" s="3" t="s">
        <v>69</v>
      </c>
      <c r="D7" s="3">
        <v>14.6</v>
      </c>
    </row>
    <row r="8" spans="1:4" x14ac:dyDescent="0.2">
      <c r="A8" s="5" t="s">
        <v>0</v>
      </c>
      <c r="B8" s="2" t="s">
        <v>15</v>
      </c>
      <c r="C8" s="2" t="s">
        <v>70</v>
      </c>
      <c r="D8" s="2">
        <v>15.1</v>
      </c>
    </row>
    <row r="9" spans="1:4" x14ac:dyDescent="0.2">
      <c r="A9" s="3" t="s">
        <v>1</v>
      </c>
      <c r="B9" s="3" t="s">
        <v>15</v>
      </c>
      <c r="C9" s="3" t="s">
        <v>64</v>
      </c>
      <c r="D9" s="3">
        <v>11.2</v>
      </c>
    </row>
    <row r="10" spans="1:4" x14ac:dyDescent="0.2">
      <c r="A10" s="2" t="s">
        <v>1</v>
      </c>
      <c r="B10" s="2" t="s">
        <v>15</v>
      </c>
      <c r="C10" s="2" t="s">
        <v>65</v>
      </c>
      <c r="D10" s="2">
        <v>11.6</v>
      </c>
    </row>
    <row r="11" spans="1:4" x14ac:dyDescent="0.2">
      <c r="A11" s="3" t="s">
        <v>1</v>
      </c>
      <c r="B11" s="3" t="s">
        <v>15</v>
      </c>
      <c r="C11" s="3" t="s">
        <v>66</v>
      </c>
      <c r="D11" s="3">
        <v>11.2</v>
      </c>
    </row>
    <row r="12" spans="1:4" x14ac:dyDescent="0.2">
      <c r="A12" s="2" t="s">
        <v>1</v>
      </c>
      <c r="B12" s="2" t="s">
        <v>15</v>
      </c>
      <c r="C12" s="2" t="s">
        <v>67</v>
      </c>
      <c r="D12" s="2">
        <v>11.4</v>
      </c>
    </row>
    <row r="13" spans="1:4" x14ac:dyDescent="0.2">
      <c r="A13" s="3" t="s">
        <v>1</v>
      </c>
      <c r="B13" s="3" t="s">
        <v>15</v>
      </c>
      <c r="C13" s="3" t="s">
        <v>68</v>
      </c>
      <c r="D13" s="3">
        <v>11.9</v>
      </c>
    </row>
    <row r="14" spans="1:4" x14ac:dyDescent="0.2">
      <c r="A14" s="2" t="s">
        <v>1</v>
      </c>
      <c r="B14" s="2" t="s">
        <v>15</v>
      </c>
      <c r="C14" s="2" t="s">
        <v>69</v>
      </c>
      <c r="D14" s="2">
        <v>11.4</v>
      </c>
    </row>
    <row r="15" spans="1:4" x14ac:dyDescent="0.2">
      <c r="A15" s="3" t="s">
        <v>1</v>
      </c>
      <c r="B15" s="3" t="s">
        <v>15</v>
      </c>
      <c r="C15" s="3" t="s">
        <v>70</v>
      </c>
      <c r="D15" s="3">
        <v>11.5</v>
      </c>
    </row>
    <row r="16" spans="1:4" x14ac:dyDescent="0.2">
      <c r="A16" s="2" t="s">
        <v>2</v>
      </c>
      <c r="B16" s="2" t="s">
        <v>15</v>
      </c>
      <c r="C16" s="2" t="s">
        <v>64</v>
      </c>
      <c r="D16" s="2">
        <v>19.2</v>
      </c>
    </row>
    <row r="17" spans="1:4" x14ac:dyDescent="0.2">
      <c r="A17" s="3" t="s">
        <v>2</v>
      </c>
      <c r="B17" s="3" t="s">
        <v>15</v>
      </c>
      <c r="C17" s="3" t="s">
        <v>65</v>
      </c>
      <c r="D17" s="3">
        <v>19.3</v>
      </c>
    </row>
    <row r="18" spans="1:4" x14ac:dyDescent="0.2">
      <c r="A18" s="2" t="s">
        <v>2</v>
      </c>
      <c r="B18" s="2" t="s">
        <v>15</v>
      </c>
      <c r="C18" s="2" t="s">
        <v>66</v>
      </c>
      <c r="D18" s="2">
        <v>19.399999999999999</v>
      </c>
    </row>
    <row r="19" spans="1:4" x14ac:dyDescent="0.2">
      <c r="A19" s="3" t="s">
        <v>2</v>
      </c>
      <c r="B19" s="3" t="s">
        <v>15</v>
      </c>
      <c r="C19" s="3" t="s">
        <v>67</v>
      </c>
      <c r="D19" s="3">
        <v>19.399999999999999</v>
      </c>
    </row>
    <row r="20" spans="1:4" x14ac:dyDescent="0.2">
      <c r="A20" s="2" t="s">
        <v>2</v>
      </c>
      <c r="B20" s="2" t="s">
        <v>15</v>
      </c>
      <c r="C20" s="2" t="s">
        <v>68</v>
      </c>
      <c r="D20" s="2">
        <v>19.5</v>
      </c>
    </row>
    <row r="21" spans="1:4" x14ac:dyDescent="0.2">
      <c r="A21" s="3" t="s">
        <v>2</v>
      </c>
      <c r="B21" s="3" t="s">
        <v>15</v>
      </c>
      <c r="C21" s="3" t="s">
        <v>69</v>
      </c>
      <c r="D21" s="3">
        <v>19.8</v>
      </c>
    </row>
    <row r="22" spans="1:4" x14ac:dyDescent="0.2">
      <c r="A22" s="2" t="s">
        <v>2</v>
      </c>
      <c r="B22" s="2" t="s">
        <v>15</v>
      </c>
      <c r="C22" s="2" t="s">
        <v>70</v>
      </c>
      <c r="D22" s="2">
        <v>19.8</v>
      </c>
    </row>
    <row r="23" spans="1:4" x14ac:dyDescent="0.2">
      <c r="A23" s="3" t="s">
        <v>3</v>
      </c>
      <c r="B23" s="3" t="s">
        <v>15</v>
      </c>
      <c r="C23" s="3" t="s">
        <v>64</v>
      </c>
      <c r="D23" s="3">
        <v>15.5</v>
      </c>
    </row>
    <row r="24" spans="1:4" x14ac:dyDescent="0.2">
      <c r="A24" s="2" t="s">
        <v>3</v>
      </c>
      <c r="B24" s="2" t="s">
        <v>15</v>
      </c>
      <c r="C24" s="2" t="s">
        <v>65</v>
      </c>
      <c r="D24" s="2">
        <v>15.9</v>
      </c>
    </row>
    <row r="25" spans="1:4" x14ac:dyDescent="0.2">
      <c r="A25" s="3" t="s">
        <v>3</v>
      </c>
      <c r="B25" s="3" t="s">
        <v>15</v>
      </c>
      <c r="C25" s="3" t="s">
        <v>66</v>
      </c>
      <c r="D25" s="3">
        <v>16.100000000000001</v>
      </c>
    </row>
    <row r="26" spans="1:4" x14ac:dyDescent="0.2">
      <c r="A26" s="2" t="s">
        <v>3</v>
      </c>
      <c r="B26" s="2" t="s">
        <v>15</v>
      </c>
      <c r="C26" s="2" t="s">
        <v>67</v>
      </c>
      <c r="D26" s="2">
        <v>16.2</v>
      </c>
    </row>
    <row r="27" spans="1:4" x14ac:dyDescent="0.2">
      <c r="A27" s="3" t="s">
        <v>3</v>
      </c>
      <c r="B27" s="3" t="s">
        <v>15</v>
      </c>
      <c r="C27" s="3" t="s">
        <v>68</v>
      </c>
      <c r="D27" s="3">
        <v>16.5</v>
      </c>
    </row>
    <row r="28" spans="1:4" x14ac:dyDescent="0.2">
      <c r="A28" s="2" t="s">
        <v>3</v>
      </c>
      <c r="B28" s="2" t="s">
        <v>15</v>
      </c>
      <c r="C28" s="2" t="s">
        <v>69</v>
      </c>
      <c r="D28" s="2">
        <v>16.399999999999999</v>
      </c>
    </row>
    <row r="29" spans="1:4" x14ac:dyDescent="0.2">
      <c r="A29" s="3" t="s">
        <v>3</v>
      </c>
      <c r="B29" s="3" t="s">
        <v>15</v>
      </c>
      <c r="C29" s="3" t="s">
        <v>70</v>
      </c>
      <c r="D29" s="3">
        <v>16.600000000000001</v>
      </c>
    </row>
    <row r="30" spans="1:4" x14ac:dyDescent="0.2">
      <c r="A30" s="2" t="s">
        <v>4</v>
      </c>
      <c r="B30" s="2" t="s">
        <v>15</v>
      </c>
      <c r="C30" s="2" t="s">
        <v>64</v>
      </c>
      <c r="D30" s="2">
        <v>17.7</v>
      </c>
    </row>
    <row r="31" spans="1:4" x14ac:dyDescent="0.2">
      <c r="A31" s="3" t="s">
        <v>4</v>
      </c>
      <c r="B31" s="3" t="s">
        <v>15</v>
      </c>
      <c r="C31" s="3" t="s">
        <v>65</v>
      </c>
      <c r="D31" s="3">
        <v>17.5</v>
      </c>
    </row>
    <row r="32" spans="1:4" x14ac:dyDescent="0.2">
      <c r="A32" s="2" t="s">
        <v>4</v>
      </c>
      <c r="B32" s="2" t="s">
        <v>15</v>
      </c>
      <c r="C32" s="2" t="s">
        <v>66</v>
      </c>
      <c r="D32" s="2">
        <v>17.7</v>
      </c>
    </row>
    <row r="33" spans="1:4" x14ac:dyDescent="0.2">
      <c r="A33" s="3" t="s">
        <v>4</v>
      </c>
      <c r="B33" s="3" t="s">
        <v>15</v>
      </c>
      <c r="C33" s="3" t="s">
        <v>67</v>
      </c>
      <c r="D33" s="3">
        <v>17.7</v>
      </c>
    </row>
    <row r="34" spans="1:4" x14ac:dyDescent="0.2">
      <c r="A34" s="2" t="s">
        <v>4</v>
      </c>
      <c r="B34" s="2" t="s">
        <v>15</v>
      </c>
      <c r="C34" s="2" t="s">
        <v>68</v>
      </c>
      <c r="D34" s="2">
        <v>17.8</v>
      </c>
    </row>
    <row r="35" spans="1:4" x14ac:dyDescent="0.2">
      <c r="A35" s="3" t="s">
        <v>4</v>
      </c>
      <c r="B35" s="3" t="s">
        <v>15</v>
      </c>
      <c r="C35" s="3" t="s">
        <v>69</v>
      </c>
      <c r="D35" s="3">
        <v>18</v>
      </c>
    </row>
    <row r="36" spans="1:4" x14ac:dyDescent="0.2">
      <c r="A36" s="2" t="s">
        <v>4</v>
      </c>
      <c r="B36" s="2" t="s">
        <v>15</v>
      </c>
      <c r="C36" s="2" t="s">
        <v>70</v>
      </c>
      <c r="D36" s="2">
        <v>18.100000000000001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F1411"/>
  </sheetPr>
  <dimension ref="A1:F134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7" customWidth="1"/>
    <col min="2" max="2" width="11" customWidth="1"/>
    <col min="3" max="3" width="13" customWidth="1"/>
    <col min="4" max="4" width="34" customWidth="1"/>
    <col min="5" max="6" width="12" customWidth="1"/>
  </cols>
  <sheetData>
    <row r="1" spans="1:6" ht="28" x14ac:dyDescent="0.2">
      <c r="A1" s="9" t="s">
        <v>237</v>
      </c>
      <c r="B1" s="9" t="s">
        <v>238</v>
      </c>
      <c r="C1" s="9" t="s">
        <v>63</v>
      </c>
      <c r="D1" s="9" t="s">
        <v>318</v>
      </c>
      <c r="E1" s="9" t="s">
        <v>305</v>
      </c>
      <c r="F1" s="9" t="s">
        <v>304</v>
      </c>
    </row>
    <row r="2" spans="1:6" x14ac:dyDescent="0.2">
      <c r="A2" s="5" t="s">
        <v>0</v>
      </c>
      <c r="B2" s="2" t="s">
        <v>15</v>
      </c>
      <c r="C2" s="2" t="s">
        <v>64</v>
      </c>
      <c r="D2" s="2" t="s">
        <v>192</v>
      </c>
      <c r="E2" s="2" t="s">
        <v>74</v>
      </c>
      <c r="F2" s="2">
        <v>23.5</v>
      </c>
    </row>
    <row r="3" spans="1:6" x14ac:dyDescent="0.2">
      <c r="A3" s="6" t="s">
        <v>0</v>
      </c>
      <c r="B3" s="3" t="s">
        <v>15</v>
      </c>
      <c r="C3" s="3" t="s">
        <v>64</v>
      </c>
      <c r="D3" s="3" t="s">
        <v>193</v>
      </c>
      <c r="E3" s="3" t="s">
        <v>194</v>
      </c>
      <c r="F3" s="3">
        <v>18.899999999999999</v>
      </c>
    </row>
    <row r="4" spans="1:6" x14ac:dyDescent="0.2">
      <c r="A4" s="5" t="s">
        <v>0</v>
      </c>
      <c r="B4" s="2" t="s">
        <v>15</v>
      </c>
      <c r="C4" s="2" t="s">
        <v>64</v>
      </c>
      <c r="D4" s="2" t="s">
        <v>195</v>
      </c>
      <c r="E4" s="2" t="s">
        <v>74</v>
      </c>
      <c r="F4" s="2">
        <v>15.7</v>
      </c>
    </row>
    <row r="5" spans="1:6" x14ac:dyDescent="0.2">
      <c r="A5" s="6" t="s">
        <v>0</v>
      </c>
      <c r="B5" s="3" t="s">
        <v>15</v>
      </c>
      <c r="C5" s="3" t="s">
        <v>64</v>
      </c>
      <c r="D5" s="3" t="s">
        <v>196</v>
      </c>
      <c r="E5" s="3" t="s">
        <v>71</v>
      </c>
      <c r="F5" s="3">
        <v>13.1</v>
      </c>
    </row>
    <row r="6" spans="1:6" x14ac:dyDescent="0.2">
      <c r="A6" s="5" t="s">
        <v>0</v>
      </c>
      <c r="B6" s="2" t="s">
        <v>15</v>
      </c>
      <c r="C6" s="2" t="s">
        <v>64</v>
      </c>
      <c r="D6" s="2" t="s">
        <v>197</v>
      </c>
      <c r="E6" s="2" t="s">
        <v>74</v>
      </c>
      <c r="F6" s="2">
        <v>11.2</v>
      </c>
    </row>
    <row r="7" spans="1:6" x14ac:dyDescent="0.2">
      <c r="A7" s="6" t="s">
        <v>0</v>
      </c>
      <c r="B7" s="3" t="s">
        <v>15</v>
      </c>
      <c r="C7" s="3" t="s">
        <v>64</v>
      </c>
      <c r="D7" s="3" t="s">
        <v>198</v>
      </c>
      <c r="E7" s="3" t="s">
        <v>194</v>
      </c>
      <c r="F7" s="3">
        <v>8.6999999999999993</v>
      </c>
    </row>
    <row r="8" spans="1:6" x14ac:dyDescent="0.2">
      <c r="A8" s="5" t="s">
        <v>0</v>
      </c>
      <c r="B8" s="2" t="s">
        <v>15</v>
      </c>
      <c r="C8" s="2" t="s">
        <v>64</v>
      </c>
      <c r="D8" s="2" t="s">
        <v>199</v>
      </c>
      <c r="E8" s="2" t="s">
        <v>71</v>
      </c>
      <c r="F8" s="2">
        <v>7.9</v>
      </c>
    </row>
    <row r="9" spans="1:6" x14ac:dyDescent="0.2">
      <c r="A9" s="6" t="s">
        <v>0</v>
      </c>
      <c r="B9" s="3" t="s">
        <v>15</v>
      </c>
      <c r="C9" s="3" t="s">
        <v>65</v>
      </c>
      <c r="D9" s="3" t="s">
        <v>192</v>
      </c>
      <c r="E9" s="3" t="s">
        <v>74</v>
      </c>
      <c r="F9" s="3">
        <v>23.8</v>
      </c>
    </row>
    <row r="10" spans="1:6" x14ac:dyDescent="0.2">
      <c r="A10" s="5" t="s">
        <v>0</v>
      </c>
      <c r="B10" s="2" t="s">
        <v>15</v>
      </c>
      <c r="C10" s="2" t="s">
        <v>65</v>
      </c>
      <c r="D10" s="2" t="s">
        <v>193</v>
      </c>
      <c r="E10" s="2" t="s">
        <v>194</v>
      </c>
      <c r="F10" s="2">
        <v>19.100000000000001</v>
      </c>
    </row>
    <row r="11" spans="1:6" x14ac:dyDescent="0.2">
      <c r="A11" s="6" t="s">
        <v>0</v>
      </c>
      <c r="B11" s="3" t="s">
        <v>15</v>
      </c>
      <c r="C11" s="3" t="s">
        <v>65</v>
      </c>
      <c r="D11" s="3" t="s">
        <v>195</v>
      </c>
      <c r="E11" s="3" t="s">
        <v>74</v>
      </c>
      <c r="F11" s="3">
        <v>16</v>
      </c>
    </row>
    <row r="12" spans="1:6" x14ac:dyDescent="0.2">
      <c r="A12" s="5" t="s">
        <v>0</v>
      </c>
      <c r="B12" s="2" t="s">
        <v>15</v>
      </c>
      <c r="C12" s="2" t="s">
        <v>65</v>
      </c>
      <c r="D12" s="2" t="s">
        <v>196</v>
      </c>
      <c r="E12" s="2" t="s">
        <v>71</v>
      </c>
      <c r="F12" s="2">
        <v>12.7</v>
      </c>
    </row>
    <row r="13" spans="1:6" x14ac:dyDescent="0.2">
      <c r="A13" s="6" t="s">
        <v>0</v>
      </c>
      <c r="B13" s="3" t="s">
        <v>15</v>
      </c>
      <c r="C13" s="3" t="s">
        <v>65</v>
      </c>
      <c r="D13" s="3" t="s">
        <v>197</v>
      </c>
      <c r="E13" s="3" t="s">
        <v>74</v>
      </c>
      <c r="F13" s="3">
        <v>11.5</v>
      </c>
    </row>
    <row r="14" spans="1:6" x14ac:dyDescent="0.2">
      <c r="A14" s="5" t="s">
        <v>0</v>
      </c>
      <c r="B14" s="2" t="s">
        <v>15</v>
      </c>
      <c r="C14" s="2" t="s">
        <v>65</v>
      </c>
      <c r="D14" s="2" t="s">
        <v>198</v>
      </c>
      <c r="E14" s="2" t="s">
        <v>194</v>
      </c>
      <c r="F14" s="2">
        <v>8.6</v>
      </c>
    </row>
    <row r="15" spans="1:6" x14ac:dyDescent="0.2">
      <c r="A15" s="6" t="s">
        <v>0</v>
      </c>
      <c r="B15" s="3" t="s">
        <v>15</v>
      </c>
      <c r="C15" s="3" t="s">
        <v>65</v>
      </c>
      <c r="D15" s="3" t="s">
        <v>199</v>
      </c>
      <c r="E15" s="3" t="s">
        <v>71</v>
      </c>
      <c r="F15" s="3">
        <v>8.4</v>
      </c>
    </row>
    <row r="16" spans="1:6" x14ac:dyDescent="0.2">
      <c r="A16" s="5" t="s">
        <v>0</v>
      </c>
      <c r="B16" s="2" t="s">
        <v>15</v>
      </c>
      <c r="C16" s="2" t="s">
        <v>66</v>
      </c>
      <c r="D16" s="2" t="s">
        <v>192</v>
      </c>
      <c r="E16" s="2" t="s">
        <v>74</v>
      </c>
      <c r="F16" s="2">
        <v>24.3</v>
      </c>
    </row>
    <row r="17" spans="1:6" x14ac:dyDescent="0.2">
      <c r="A17" s="6" t="s">
        <v>0</v>
      </c>
      <c r="B17" s="3" t="s">
        <v>15</v>
      </c>
      <c r="C17" s="3" t="s">
        <v>66</v>
      </c>
      <c r="D17" s="3" t="s">
        <v>193</v>
      </c>
      <c r="E17" s="3" t="s">
        <v>194</v>
      </c>
      <c r="F17" s="3">
        <v>18.600000000000001</v>
      </c>
    </row>
    <row r="18" spans="1:6" x14ac:dyDescent="0.2">
      <c r="A18" s="5" t="s">
        <v>0</v>
      </c>
      <c r="B18" s="2" t="s">
        <v>15</v>
      </c>
      <c r="C18" s="2" t="s">
        <v>66</v>
      </c>
      <c r="D18" s="2" t="s">
        <v>195</v>
      </c>
      <c r="E18" s="2" t="s">
        <v>74</v>
      </c>
      <c r="F18" s="2">
        <v>15.5</v>
      </c>
    </row>
    <row r="19" spans="1:6" x14ac:dyDescent="0.2">
      <c r="A19" s="6" t="s">
        <v>0</v>
      </c>
      <c r="B19" s="3" t="s">
        <v>15</v>
      </c>
      <c r="C19" s="3" t="s">
        <v>66</v>
      </c>
      <c r="D19" s="3" t="s">
        <v>196</v>
      </c>
      <c r="E19" s="3" t="s">
        <v>71</v>
      </c>
      <c r="F19" s="3">
        <v>12.8</v>
      </c>
    </row>
    <row r="20" spans="1:6" x14ac:dyDescent="0.2">
      <c r="A20" s="5" t="s">
        <v>0</v>
      </c>
      <c r="B20" s="2" t="s">
        <v>15</v>
      </c>
      <c r="C20" s="2" t="s">
        <v>66</v>
      </c>
      <c r="D20" s="2" t="s">
        <v>197</v>
      </c>
      <c r="E20" s="2" t="s">
        <v>74</v>
      </c>
      <c r="F20" s="2">
        <v>10.8</v>
      </c>
    </row>
    <row r="21" spans="1:6" x14ac:dyDescent="0.2">
      <c r="A21" s="6" t="s">
        <v>0</v>
      </c>
      <c r="B21" s="3" t="s">
        <v>15</v>
      </c>
      <c r="C21" s="3" t="s">
        <v>66</v>
      </c>
      <c r="D21" s="3" t="s">
        <v>198</v>
      </c>
      <c r="E21" s="3" t="s">
        <v>194</v>
      </c>
      <c r="F21" s="3">
        <v>8.6999999999999993</v>
      </c>
    </row>
    <row r="22" spans="1:6" x14ac:dyDescent="0.2">
      <c r="A22" s="5" t="s">
        <v>0</v>
      </c>
      <c r="B22" s="2" t="s">
        <v>15</v>
      </c>
      <c r="C22" s="2" t="s">
        <v>66</v>
      </c>
      <c r="D22" s="2" t="s">
        <v>199</v>
      </c>
      <c r="E22" s="2" t="s">
        <v>71</v>
      </c>
      <c r="F22" s="2">
        <v>8.1</v>
      </c>
    </row>
    <row r="23" spans="1:6" x14ac:dyDescent="0.2">
      <c r="A23" s="6" t="s">
        <v>0</v>
      </c>
      <c r="B23" s="3" t="s">
        <v>15</v>
      </c>
      <c r="C23" s="3" t="s">
        <v>67</v>
      </c>
      <c r="D23" s="3" t="s">
        <v>192</v>
      </c>
      <c r="E23" s="3" t="s">
        <v>74</v>
      </c>
      <c r="F23" s="3">
        <v>24.5</v>
      </c>
    </row>
    <row r="24" spans="1:6" x14ac:dyDescent="0.2">
      <c r="A24" s="5" t="s">
        <v>0</v>
      </c>
      <c r="B24" s="2" t="s">
        <v>15</v>
      </c>
      <c r="C24" s="2" t="s">
        <v>67</v>
      </c>
      <c r="D24" s="2" t="s">
        <v>193</v>
      </c>
      <c r="E24" s="2" t="s">
        <v>194</v>
      </c>
      <c r="F24" s="2">
        <v>18.7</v>
      </c>
    </row>
    <row r="25" spans="1:6" x14ac:dyDescent="0.2">
      <c r="A25" s="6" t="s">
        <v>0</v>
      </c>
      <c r="B25" s="3" t="s">
        <v>15</v>
      </c>
      <c r="C25" s="3" t="s">
        <v>67</v>
      </c>
      <c r="D25" s="3" t="s">
        <v>195</v>
      </c>
      <c r="E25" s="3" t="s">
        <v>74</v>
      </c>
      <c r="F25" s="3">
        <v>16.3</v>
      </c>
    </row>
    <row r="26" spans="1:6" x14ac:dyDescent="0.2">
      <c r="A26" s="5" t="s">
        <v>0</v>
      </c>
      <c r="B26" s="2" t="s">
        <v>15</v>
      </c>
      <c r="C26" s="2" t="s">
        <v>67</v>
      </c>
      <c r="D26" s="2" t="s">
        <v>196</v>
      </c>
      <c r="E26" s="2" t="s">
        <v>71</v>
      </c>
      <c r="F26" s="2">
        <v>12.7</v>
      </c>
    </row>
    <row r="27" spans="1:6" x14ac:dyDescent="0.2">
      <c r="A27" s="6" t="s">
        <v>0</v>
      </c>
      <c r="B27" s="3" t="s">
        <v>15</v>
      </c>
      <c r="C27" s="3" t="s">
        <v>67</v>
      </c>
      <c r="D27" s="3" t="s">
        <v>197</v>
      </c>
      <c r="E27" s="3" t="s">
        <v>74</v>
      </c>
      <c r="F27" s="3">
        <v>10.5</v>
      </c>
    </row>
    <row r="28" spans="1:6" x14ac:dyDescent="0.2">
      <c r="A28" s="5" t="s">
        <v>0</v>
      </c>
      <c r="B28" s="2" t="s">
        <v>15</v>
      </c>
      <c r="C28" s="2" t="s">
        <v>67</v>
      </c>
      <c r="D28" s="2" t="s">
        <v>198</v>
      </c>
      <c r="E28" s="2" t="s">
        <v>194</v>
      </c>
      <c r="F28" s="2">
        <v>8.8000000000000007</v>
      </c>
    </row>
    <row r="29" spans="1:6" x14ac:dyDescent="0.2">
      <c r="A29" s="6" t="s">
        <v>0</v>
      </c>
      <c r="B29" s="3" t="s">
        <v>15</v>
      </c>
      <c r="C29" s="3" t="s">
        <v>67</v>
      </c>
      <c r="D29" s="3" t="s">
        <v>199</v>
      </c>
      <c r="E29" s="3" t="s">
        <v>71</v>
      </c>
      <c r="F29" s="3">
        <v>8.4</v>
      </c>
    </row>
    <row r="30" spans="1:6" x14ac:dyDescent="0.2">
      <c r="A30" s="5" t="s">
        <v>0</v>
      </c>
      <c r="B30" s="2" t="s">
        <v>15</v>
      </c>
      <c r="C30" s="2" t="s">
        <v>68</v>
      </c>
      <c r="D30" s="2" t="s">
        <v>192</v>
      </c>
      <c r="E30" s="2" t="s">
        <v>74</v>
      </c>
      <c r="F30" s="2">
        <v>23.5</v>
      </c>
    </row>
    <row r="31" spans="1:6" x14ac:dyDescent="0.2">
      <c r="A31" s="6" t="s">
        <v>0</v>
      </c>
      <c r="B31" s="3" t="s">
        <v>15</v>
      </c>
      <c r="C31" s="3" t="s">
        <v>68</v>
      </c>
      <c r="D31" s="3" t="s">
        <v>193</v>
      </c>
      <c r="E31" s="3" t="s">
        <v>194</v>
      </c>
      <c r="F31" s="3">
        <v>18.899999999999999</v>
      </c>
    </row>
    <row r="32" spans="1:6" x14ac:dyDescent="0.2">
      <c r="A32" s="5" t="s">
        <v>0</v>
      </c>
      <c r="B32" s="2" t="s">
        <v>15</v>
      </c>
      <c r="C32" s="2" t="s">
        <v>68</v>
      </c>
      <c r="D32" s="2" t="s">
        <v>195</v>
      </c>
      <c r="E32" s="2" t="s">
        <v>74</v>
      </c>
      <c r="F32" s="2">
        <v>16.2</v>
      </c>
    </row>
    <row r="33" spans="1:6" x14ac:dyDescent="0.2">
      <c r="A33" s="6" t="s">
        <v>0</v>
      </c>
      <c r="B33" s="3" t="s">
        <v>15</v>
      </c>
      <c r="C33" s="3" t="s">
        <v>68</v>
      </c>
      <c r="D33" s="3" t="s">
        <v>196</v>
      </c>
      <c r="E33" s="3" t="s">
        <v>71</v>
      </c>
      <c r="F33" s="3">
        <v>12.7</v>
      </c>
    </row>
    <row r="34" spans="1:6" x14ac:dyDescent="0.2">
      <c r="A34" s="5" t="s">
        <v>0</v>
      </c>
      <c r="B34" s="2" t="s">
        <v>15</v>
      </c>
      <c r="C34" s="2" t="s">
        <v>68</v>
      </c>
      <c r="D34" s="2" t="s">
        <v>197</v>
      </c>
      <c r="E34" s="2" t="s">
        <v>74</v>
      </c>
      <c r="F34" s="2">
        <v>10.9</v>
      </c>
    </row>
    <row r="35" spans="1:6" x14ac:dyDescent="0.2">
      <c r="A35" s="6" t="s">
        <v>0</v>
      </c>
      <c r="B35" s="3" t="s">
        <v>15</v>
      </c>
      <c r="C35" s="3" t="s">
        <v>68</v>
      </c>
      <c r="D35" s="3" t="s">
        <v>198</v>
      </c>
      <c r="E35" s="3" t="s">
        <v>194</v>
      </c>
      <c r="F35" s="3">
        <v>9.5</v>
      </c>
    </row>
    <row r="36" spans="1:6" x14ac:dyDescent="0.2">
      <c r="A36" s="5" t="s">
        <v>0</v>
      </c>
      <c r="B36" s="2" t="s">
        <v>15</v>
      </c>
      <c r="C36" s="2" t="s">
        <v>68</v>
      </c>
      <c r="D36" s="2" t="s">
        <v>199</v>
      </c>
      <c r="E36" s="2" t="s">
        <v>71</v>
      </c>
      <c r="F36" s="2">
        <v>8.1999999999999993</v>
      </c>
    </row>
    <row r="37" spans="1:6" x14ac:dyDescent="0.2">
      <c r="A37" s="6" t="s">
        <v>0</v>
      </c>
      <c r="B37" s="3" t="s">
        <v>15</v>
      </c>
      <c r="C37" s="3" t="s">
        <v>69</v>
      </c>
      <c r="D37" s="3" t="s">
        <v>192</v>
      </c>
      <c r="E37" s="3" t="s">
        <v>74</v>
      </c>
      <c r="F37" s="3">
        <v>23.5</v>
      </c>
    </row>
    <row r="38" spans="1:6" x14ac:dyDescent="0.2">
      <c r="A38" s="5" t="s">
        <v>0</v>
      </c>
      <c r="B38" s="2" t="s">
        <v>15</v>
      </c>
      <c r="C38" s="2" t="s">
        <v>69</v>
      </c>
      <c r="D38" s="2" t="s">
        <v>193</v>
      </c>
      <c r="E38" s="2" t="s">
        <v>194</v>
      </c>
      <c r="F38" s="2">
        <v>19.399999999999999</v>
      </c>
    </row>
    <row r="39" spans="1:6" x14ac:dyDescent="0.2">
      <c r="A39" s="6" t="s">
        <v>0</v>
      </c>
      <c r="B39" s="3" t="s">
        <v>15</v>
      </c>
      <c r="C39" s="3" t="s">
        <v>69</v>
      </c>
      <c r="D39" s="3" t="s">
        <v>195</v>
      </c>
      <c r="E39" s="3" t="s">
        <v>74</v>
      </c>
      <c r="F39" s="3">
        <v>15.9</v>
      </c>
    </row>
    <row r="40" spans="1:6" x14ac:dyDescent="0.2">
      <c r="A40" s="5" t="s">
        <v>0</v>
      </c>
      <c r="B40" s="2" t="s">
        <v>15</v>
      </c>
      <c r="C40" s="2" t="s">
        <v>69</v>
      </c>
      <c r="D40" s="2" t="s">
        <v>196</v>
      </c>
      <c r="E40" s="2" t="s">
        <v>71</v>
      </c>
      <c r="F40" s="2">
        <v>13</v>
      </c>
    </row>
    <row r="41" spans="1:6" x14ac:dyDescent="0.2">
      <c r="A41" s="6" t="s">
        <v>0</v>
      </c>
      <c r="B41" s="3" t="s">
        <v>15</v>
      </c>
      <c r="C41" s="3" t="s">
        <v>69</v>
      </c>
      <c r="D41" s="3" t="s">
        <v>197</v>
      </c>
      <c r="E41" s="3" t="s">
        <v>74</v>
      </c>
      <c r="F41" s="3">
        <v>10.6</v>
      </c>
    </row>
    <row r="42" spans="1:6" x14ac:dyDescent="0.2">
      <c r="A42" s="5" t="s">
        <v>0</v>
      </c>
      <c r="B42" s="2" t="s">
        <v>15</v>
      </c>
      <c r="C42" s="2" t="s">
        <v>69</v>
      </c>
      <c r="D42" s="2" t="s">
        <v>198</v>
      </c>
      <c r="E42" s="2" t="s">
        <v>194</v>
      </c>
      <c r="F42" s="2">
        <v>9</v>
      </c>
    </row>
    <row r="43" spans="1:6" x14ac:dyDescent="0.2">
      <c r="A43" s="6" t="s">
        <v>0</v>
      </c>
      <c r="B43" s="3" t="s">
        <v>15</v>
      </c>
      <c r="C43" s="3" t="s">
        <v>69</v>
      </c>
      <c r="D43" s="3" t="s">
        <v>199</v>
      </c>
      <c r="E43" s="3" t="s">
        <v>71</v>
      </c>
      <c r="F43" s="3">
        <v>8.3000000000000007</v>
      </c>
    </row>
    <row r="44" spans="1:6" x14ac:dyDescent="0.2">
      <c r="A44" s="5" t="s">
        <v>0</v>
      </c>
      <c r="B44" s="2" t="s">
        <v>15</v>
      </c>
      <c r="C44" s="2" t="s">
        <v>70</v>
      </c>
      <c r="D44" s="2" t="s">
        <v>192</v>
      </c>
      <c r="E44" s="2" t="s">
        <v>74</v>
      </c>
      <c r="F44" s="2">
        <v>24.1</v>
      </c>
    </row>
    <row r="45" spans="1:6" x14ac:dyDescent="0.2">
      <c r="A45" s="6" t="s">
        <v>0</v>
      </c>
      <c r="B45" s="3" t="s">
        <v>15</v>
      </c>
      <c r="C45" s="3" t="s">
        <v>70</v>
      </c>
      <c r="D45" s="3" t="s">
        <v>193</v>
      </c>
      <c r="E45" s="3" t="s">
        <v>194</v>
      </c>
      <c r="F45" s="3">
        <v>18.899999999999999</v>
      </c>
    </row>
    <row r="46" spans="1:6" x14ac:dyDescent="0.2">
      <c r="A46" s="5" t="s">
        <v>0</v>
      </c>
      <c r="B46" s="2" t="s">
        <v>15</v>
      </c>
      <c r="C46" s="2" t="s">
        <v>70</v>
      </c>
      <c r="D46" s="2" t="s">
        <v>195</v>
      </c>
      <c r="E46" s="2" t="s">
        <v>74</v>
      </c>
      <c r="F46" s="2">
        <v>15.7</v>
      </c>
    </row>
    <row r="47" spans="1:6" x14ac:dyDescent="0.2">
      <c r="A47" s="6" t="s">
        <v>0</v>
      </c>
      <c r="B47" s="3" t="s">
        <v>15</v>
      </c>
      <c r="C47" s="3" t="s">
        <v>70</v>
      </c>
      <c r="D47" s="3" t="s">
        <v>196</v>
      </c>
      <c r="E47" s="3" t="s">
        <v>71</v>
      </c>
      <c r="F47" s="3">
        <v>13.4</v>
      </c>
    </row>
    <row r="48" spans="1:6" x14ac:dyDescent="0.2">
      <c r="A48" s="5" t="s">
        <v>0</v>
      </c>
      <c r="B48" s="2" t="s">
        <v>15</v>
      </c>
      <c r="C48" s="2" t="s">
        <v>70</v>
      </c>
      <c r="D48" s="2" t="s">
        <v>197</v>
      </c>
      <c r="E48" s="2" t="s">
        <v>74</v>
      </c>
      <c r="F48" s="2">
        <v>11.2</v>
      </c>
    </row>
    <row r="49" spans="1:6" x14ac:dyDescent="0.2">
      <c r="A49" s="6" t="s">
        <v>0</v>
      </c>
      <c r="B49" s="3" t="s">
        <v>15</v>
      </c>
      <c r="C49" s="3" t="s">
        <v>70</v>
      </c>
      <c r="D49" s="3" t="s">
        <v>198</v>
      </c>
      <c r="E49" s="3" t="s">
        <v>194</v>
      </c>
      <c r="F49" s="3">
        <v>8.8000000000000007</v>
      </c>
    </row>
    <row r="50" spans="1:6" x14ac:dyDescent="0.2">
      <c r="A50" s="5" t="s">
        <v>0</v>
      </c>
      <c r="B50" s="2" t="s">
        <v>15</v>
      </c>
      <c r="C50" s="2" t="s">
        <v>70</v>
      </c>
      <c r="D50" s="2" t="s">
        <v>199</v>
      </c>
      <c r="E50" s="2" t="s">
        <v>71</v>
      </c>
      <c r="F50" s="2">
        <v>7.8</v>
      </c>
    </row>
    <row r="51" spans="1:6" x14ac:dyDescent="0.2">
      <c r="A51" s="3" t="s">
        <v>1</v>
      </c>
      <c r="B51" s="3" t="s">
        <v>15</v>
      </c>
      <c r="C51" s="3" t="s">
        <v>64</v>
      </c>
      <c r="D51" s="3" t="s">
        <v>200</v>
      </c>
      <c r="E51" s="3" t="s">
        <v>74</v>
      </c>
      <c r="F51" s="3">
        <v>22.4</v>
      </c>
    </row>
    <row r="52" spans="1:6" x14ac:dyDescent="0.2">
      <c r="A52" s="2" t="s">
        <v>1</v>
      </c>
      <c r="B52" s="2" t="s">
        <v>15</v>
      </c>
      <c r="C52" s="2" t="s">
        <v>64</v>
      </c>
      <c r="D52" s="2" t="s">
        <v>201</v>
      </c>
      <c r="E52" s="2" t="s">
        <v>74</v>
      </c>
      <c r="F52" s="2">
        <v>18.3</v>
      </c>
    </row>
    <row r="53" spans="1:6" x14ac:dyDescent="0.2">
      <c r="A53" s="3" t="s">
        <v>1</v>
      </c>
      <c r="B53" s="3" t="s">
        <v>15</v>
      </c>
      <c r="C53" s="3" t="s">
        <v>64</v>
      </c>
      <c r="D53" s="3" t="s">
        <v>202</v>
      </c>
      <c r="E53" s="3" t="s">
        <v>194</v>
      </c>
      <c r="F53" s="3">
        <v>14.6</v>
      </c>
    </row>
    <row r="54" spans="1:6" x14ac:dyDescent="0.2">
      <c r="A54" s="2" t="s">
        <v>1</v>
      </c>
      <c r="B54" s="2" t="s">
        <v>15</v>
      </c>
      <c r="C54" s="2" t="s">
        <v>65</v>
      </c>
      <c r="D54" s="2" t="s">
        <v>200</v>
      </c>
      <c r="E54" s="2" t="s">
        <v>74</v>
      </c>
      <c r="F54" s="2">
        <v>21.7</v>
      </c>
    </row>
    <row r="55" spans="1:6" x14ac:dyDescent="0.2">
      <c r="A55" s="3" t="s">
        <v>1</v>
      </c>
      <c r="B55" s="3" t="s">
        <v>15</v>
      </c>
      <c r="C55" s="3" t="s">
        <v>65</v>
      </c>
      <c r="D55" s="3" t="s">
        <v>201</v>
      </c>
      <c r="E55" s="3" t="s">
        <v>74</v>
      </c>
      <c r="F55" s="3">
        <v>17.8</v>
      </c>
    </row>
    <row r="56" spans="1:6" x14ac:dyDescent="0.2">
      <c r="A56" s="2" t="s">
        <v>1</v>
      </c>
      <c r="B56" s="2" t="s">
        <v>15</v>
      </c>
      <c r="C56" s="2" t="s">
        <v>65</v>
      </c>
      <c r="D56" s="2" t="s">
        <v>202</v>
      </c>
      <c r="E56" s="2" t="s">
        <v>194</v>
      </c>
      <c r="F56" s="2">
        <v>15</v>
      </c>
    </row>
    <row r="57" spans="1:6" x14ac:dyDescent="0.2">
      <c r="A57" s="3" t="s">
        <v>1</v>
      </c>
      <c r="B57" s="3" t="s">
        <v>15</v>
      </c>
      <c r="C57" s="3" t="s">
        <v>66</v>
      </c>
      <c r="D57" s="3" t="s">
        <v>200</v>
      </c>
      <c r="E57" s="3" t="s">
        <v>74</v>
      </c>
      <c r="F57" s="3">
        <v>21.7</v>
      </c>
    </row>
    <row r="58" spans="1:6" x14ac:dyDescent="0.2">
      <c r="A58" s="2" t="s">
        <v>1</v>
      </c>
      <c r="B58" s="2" t="s">
        <v>15</v>
      </c>
      <c r="C58" s="2" t="s">
        <v>66</v>
      </c>
      <c r="D58" s="2" t="s">
        <v>201</v>
      </c>
      <c r="E58" s="2" t="s">
        <v>74</v>
      </c>
      <c r="F58" s="2">
        <v>18</v>
      </c>
    </row>
    <row r="59" spans="1:6" x14ac:dyDescent="0.2">
      <c r="A59" s="3" t="s">
        <v>1</v>
      </c>
      <c r="B59" s="3" t="s">
        <v>15</v>
      </c>
      <c r="C59" s="3" t="s">
        <v>66</v>
      </c>
      <c r="D59" s="3" t="s">
        <v>202</v>
      </c>
      <c r="E59" s="3" t="s">
        <v>194</v>
      </c>
      <c r="F59" s="3">
        <v>14.6</v>
      </c>
    </row>
    <row r="60" spans="1:6" x14ac:dyDescent="0.2">
      <c r="A60" s="2" t="s">
        <v>1</v>
      </c>
      <c r="B60" s="2" t="s">
        <v>15</v>
      </c>
      <c r="C60" s="2" t="s">
        <v>67</v>
      </c>
      <c r="D60" s="2" t="s">
        <v>200</v>
      </c>
      <c r="E60" s="2" t="s">
        <v>74</v>
      </c>
      <c r="F60" s="2">
        <v>21.8</v>
      </c>
    </row>
    <row r="61" spans="1:6" x14ac:dyDescent="0.2">
      <c r="A61" s="3" t="s">
        <v>1</v>
      </c>
      <c r="B61" s="3" t="s">
        <v>15</v>
      </c>
      <c r="C61" s="3" t="s">
        <v>67</v>
      </c>
      <c r="D61" s="3" t="s">
        <v>201</v>
      </c>
      <c r="E61" s="3" t="s">
        <v>74</v>
      </c>
      <c r="F61" s="3">
        <v>18.2</v>
      </c>
    </row>
    <row r="62" spans="1:6" x14ac:dyDescent="0.2">
      <c r="A62" s="2" t="s">
        <v>1</v>
      </c>
      <c r="B62" s="2" t="s">
        <v>15</v>
      </c>
      <c r="C62" s="2" t="s">
        <v>67</v>
      </c>
      <c r="D62" s="2" t="s">
        <v>202</v>
      </c>
      <c r="E62" s="2" t="s">
        <v>194</v>
      </c>
      <c r="F62" s="2">
        <v>14.7</v>
      </c>
    </row>
    <row r="63" spans="1:6" x14ac:dyDescent="0.2">
      <c r="A63" s="3" t="s">
        <v>1</v>
      </c>
      <c r="B63" s="3" t="s">
        <v>15</v>
      </c>
      <c r="C63" s="3" t="s">
        <v>68</v>
      </c>
      <c r="D63" s="3" t="s">
        <v>200</v>
      </c>
      <c r="E63" s="3" t="s">
        <v>74</v>
      </c>
      <c r="F63" s="3">
        <v>21.6</v>
      </c>
    </row>
    <row r="64" spans="1:6" x14ac:dyDescent="0.2">
      <c r="A64" s="2" t="s">
        <v>1</v>
      </c>
      <c r="B64" s="2" t="s">
        <v>15</v>
      </c>
      <c r="C64" s="2" t="s">
        <v>68</v>
      </c>
      <c r="D64" s="2" t="s">
        <v>201</v>
      </c>
      <c r="E64" s="2" t="s">
        <v>74</v>
      </c>
      <c r="F64" s="2">
        <v>17.7</v>
      </c>
    </row>
    <row r="65" spans="1:6" x14ac:dyDescent="0.2">
      <c r="A65" s="3" t="s">
        <v>1</v>
      </c>
      <c r="B65" s="3" t="s">
        <v>15</v>
      </c>
      <c r="C65" s="3" t="s">
        <v>68</v>
      </c>
      <c r="D65" s="3" t="s">
        <v>202</v>
      </c>
      <c r="E65" s="3" t="s">
        <v>194</v>
      </c>
      <c r="F65" s="3">
        <v>14.9</v>
      </c>
    </row>
    <row r="66" spans="1:6" x14ac:dyDescent="0.2">
      <c r="A66" s="2" t="s">
        <v>1</v>
      </c>
      <c r="B66" s="2" t="s">
        <v>15</v>
      </c>
      <c r="C66" s="2" t="s">
        <v>69</v>
      </c>
      <c r="D66" s="2" t="s">
        <v>200</v>
      </c>
      <c r="E66" s="2" t="s">
        <v>74</v>
      </c>
      <c r="F66" s="2">
        <v>22.2</v>
      </c>
    </row>
    <row r="67" spans="1:6" x14ac:dyDescent="0.2">
      <c r="A67" s="3" t="s">
        <v>1</v>
      </c>
      <c r="B67" s="3" t="s">
        <v>15</v>
      </c>
      <c r="C67" s="3" t="s">
        <v>69</v>
      </c>
      <c r="D67" s="3" t="s">
        <v>201</v>
      </c>
      <c r="E67" s="3" t="s">
        <v>74</v>
      </c>
      <c r="F67" s="3">
        <v>18.3</v>
      </c>
    </row>
    <row r="68" spans="1:6" x14ac:dyDescent="0.2">
      <c r="A68" s="2" t="s">
        <v>1</v>
      </c>
      <c r="B68" s="2" t="s">
        <v>15</v>
      </c>
      <c r="C68" s="2" t="s">
        <v>69</v>
      </c>
      <c r="D68" s="2" t="s">
        <v>202</v>
      </c>
      <c r="E68" s="2" t="s">
        <v>194</v>
      </c>
      <c r="F68" s="2">
        <v>14.5</v>
      </c>
    </row>
    <row r="69" spans="1:6" x14ac:dyDescent="0.2">
      <c r="A69" s="3" t="s">
        <v>1</v>
      </c>
      <c r="B69" s="3" t="s">
        <v>15</v>
      </c>
      <c r="C69" s="3" t="s">
        <v>70</v>
      </c>
      <c r="D69" s="3" t="s">
        <v>200</v>
      </c>
      <c r="E69" s="3" t="s">
        <v>74</v>
      </c>
      <c r="F69" s="3">
        <v>22.4</v>
      </c>
    </row>
    <row r="70" spans="1:6" x14ac:dyDescent="0.2">
      <c r="A70" s="2" t="s">
        <v>1</v>
      </c>
      <c r="B70" s="2" t="s">
        <v>15</v>
      </c>
      <c r="C70" s="2" t="s">
        <v>70</v>
      </c>
      <c r="D70" s="2" t="s">
        <v>201</v>
      </c>
      <c r="E70" s="2" t="s">
        <v>74</v>
      </c>
      <c r="F70" s="2">
        <v>18.2</v>
      </c>
    </row>
    <row r="71" spans="1:6" x14ac:dyDescent="0.2">
      <c r="A71" s="3" t="s">
        <v>1</v>
      </c>
      <c r="B71" s="3" t="s">
        <v>15</v>
      </c>
      <c r="C71" s="3" t="s">
        <v>70</v>
      </c>
      <c r="D71" s="3" t="s">
        <v>202</v>
      </c>
      <c r="E71" s="3" t="s">
        <v>194</v>
      </c>
      <c r="F71" s="3">
        <v>14.6</v>
      </c>
    </row>
    <row r="72" spans="1:6" x14ac:dyDescent="0.2">
      <c r="A72" s="2" t="s">
        <v>2</v>
      </c>
      <c r="B72" s="2" t="s">
        <v>15</v>
      </c>
      <c r="C72" s="2" t="s">
        <v>64</v>
      </c>
      <c r="D72" s="2" t="s">
        <v>203</v>
      </c>
      <c r="E72" s="2" t="s">
        <v>74</v>
      </c>
      <c r="F72" s="2">
        <v>26.3</v>
      </c>
    </row>
    <row r="73" spans="1:6" x14ac:dyDescent="0.2">
      <c r="A73" s="3" t="s">
        <v>2</v>
      </c>
      <c r="B73" s="3" t="s">
        <v>15</v>
      </c>
      <c r="C73" s="3" t="s">
        <v>64</v>
      </c>
      <c r="D73" s="3" t="s">
        <v>204</v>
      </c>
      <c r="E73" s="3" t="s">
        <v>74</v>
      </c>
      <c r="F73" s="3">
        <v>19.600000000000001</v>
      </c>
    </row>
    <row r="74" spans="1:6" x14ac:dyDescent="0.2">
      <c r="A74" s="2" t="s">
        <v>2</v>
      </c>
      <c r="B74" s="2" t="s">
        <v>15</v>
      </c>
      <c r="C74" s="2" t="s">
        <v>64</v>
      </c>
      <c r="D74" s="2" t="s">
        <v>205</v>
      </c>
      <c r="E74" s="2" t="s">
        <v>74</v>
      </c>
      <c r="F74" s="2">
        <v>13.3</v>
      </c>
    </row>
    <row r="75" spans="1:6" x14ac:dyDescent="0.2">
      <c r="A75" s="3" t="s">
        <v>2</v>
      </c>
      <c r="B75" s="3" t="s">
        <v>15</v>
      </c>
      <c r="C75" s="3" t="s">
        <v>65</v>
      </c>
      <c r="D75" s="3" t="s">
        <v>203</v>
      </c>
      <c r="E75" s="3" t="s">
        <v>74</v>
      </c>
      <c r="F75" s="3">
        <v>25.6</v>
      </c>
    </row>
    <row r="76" spans="1:6" x14ac:dyDescent="0.2">
      <c r="A76" s="2" t="s">
        <v>2</v>
      </c>
      <c r="B76" s="2" t="s">
        <v>15</v>
      </c>
      <c r="C76" s="2" t="s">
        <v>65</v>
      </c>
      <c r="D76" s="2" t="s">
        <v>204</v>
      </c>
      <c r="E76" s="2" t="s">
        <v>74</v>
      </c>
      <c r="F76" s="2">
        <v>19.899999999999999</v>
      </c>
    </row>
    <row r="77" spans="1:6" x14ac:dyDescent="0.2">
      <c r="A77" s="3" t="s">
        <v>2</v>
      </c>
      <c r="B77" s="3" t="s">
        <v>15</v>
      </c>
      <c r="C77" s="3" t="s">
        <v>65</v>
      </c>
      <c r="D77" s="3" t="s">
        <v>205</v>
      </c>
      <c r="E77" s="3" t="s">
        <v>74</v>
      </c>
      <c r="F77" s="3">
        <v>13.4</v>
      </c>
    </row>
    <row r="78" spans="1:6" x14ac:dyDescent="0.2">
      <c r="A78" s="2" t="s">
        <v>2</v>
      </c>
      <c r="B78" s="2" t="s">
        <v>15</v>
      </c>
      <c r="C78" s="2" t="s">
        <v>66</v>
      </c>
      <c r="D78" s="2" t="s">
        <v>203</v>
      </c>
      <c r="E78" s="2" t="s">
        <v>74</v>
      </c>
      <c r="F78" s="2">
        <v>26.1</v>
      </c>
    </row>
    <row r="79" spans="1:6" x14ac:dyDescent="0.2">
      <c r="A79" s="3" t="s">
        <v>2</v>
      </c>
      <c r="B79" s="3" t="s">
        <v>15</v>
      </c>
      <c r="C79" s="3" t="s">
        <v>66</v>
      </c>
      <c r="D79" s="3" t="s">
        <v>204</v>
      </c>
      <c r="E79" s="3" t="s">
        <v>74</v>
      </c>
      <c r="F79" s="3">
        <v>20.399999999999999</v>
      </c>
    </row>
    <row r="80" spans="1:6" x14ac:dyDescent="0.2">
      <c r="A80" s="2" t="s">
        <v>2</v>
      </c>
      <c r="B80" s="2" t="s">
        <v>15</v>
      </c>
      <c r="C80" s="2" t="s">
        <v>66</v>
      </c>
      <c r="D80" s="2" t="s">
        <v>205</v>
      </c>
      <c r="E80" s="2" t="s">
        <v>74</v>
      </c>
      <c r="F80" s="2">
        <v>12.5</v>
      </c>
    </row>
    <row r="81" spans="1:6" x14ac:dyDescent="0.2">
      <c r="A81" s="3" t="s">
        <v>2</v>
      </c>
      <c r="B81" s="3" t="s">
        <v>15</v>
      </c>
      <c r="C81" s="3" t="s">
        <v>67</v>
      </c>
      <c r="D81" s="3" t="s">
        <v>203</v>
      </c>
      <c r="E81" s="3" t="s">
        <v>74</v>
      </c>
      <c r="F81" s="3">
        <v>25.7</v>
      </c>
    </row>
    <row r="82" spans="1:6" x14ac:dyDescent="0.2">
      <c r="A82" s="2" t="s">
        <v>2</v>
      </c>
      <c r="B82" s="2" t="s">
        <v>15</v>
      </c>
      <c r="C82" s="2" t="s">
        <v>67</v>
      </c>
      <c r="D82" s="2" t="s">
        <v>204</v>
      </c>
      <c r="E82" s="2" t="s">
        <v>74</v>
      </c>
      <c r="F82" s="2">
        <v>19.899999999999999</v>
      </c>
    </row>
    <row r="83" spans="1:6" x14ac:dyDescent="0.2">
      <c r="A83" s="3" t="s">
        <v>2</v>
      </c>
      <c r="B83" s="3" t="s">
        <v>15</v>
      </c>
      <c r="C83" s="3" t="s">
        <v>67</v>
      </c>
      <c r="D83" s="3" t="s">
        <v>205</v>
      </c>
      <c r="E83" s="3" t="s">
        <v>74</v>
      </c>
      <c r="F83" s="3">
        <v>12.6</v>
      </c>
    </row>
    <row r="84" spans="1:6" x14ac:dyDescent="0.2">
      <c r="A84" s="2" t="s">
        <v>2</v>
      </c>
      <c r="B84" s="2" t="s">
        <v>15</v>
      </c>
      <c r="C84" s="2" t="s">
        <v>68</v>
      </c>
      <c r="D84" s="2" t="s">
        <v>203</v>
      </c>
      <c r="E84" s="2" t="s">
        <v>74</v>
      </c>
      <c r="F84" s="2">
        <v>25.6</v>
      </c>
    </row>
    <row r="85" spans="1:6" x14ac:dyDescent="0.2">
      <c r="A85" s="3" t="s">
        <v>2</v>
      </c>
      <c r="B85" s="3" t="s">
        <v>15</v>
      </c>
      <c r="C85" s="3" t="s">
        <v>68</v>
      </c>
      <c r="D85" s="3" t="s">
        <v>204</v>
      </c>
      <c r="E85" s="3" t="s">
        <v>74</v>
      </c>
      <c r="F85" s="3">
        <v>19.600000000000001</v>
      </c>
    </row>
    <row r="86" spans="1:6" x14ac:dyDescent="0.2">
      <c r="A86" s="2" t="s">
        <v>2</v>
      </c>
      <c r="B86" s="2" t="s">
        <v>15</v>
      </c>
      <c r="C86" s="2" t="s">
        <v>68</v>
      </c>
      <c r="D86" s="2" t="s">
        <v>205</v>
      </c>
      <c r="E86" s="2" t="s">
        <v>74</v>
      </c>
      <c r="F86" s="2">
        <v>12.9</v>
      </c>
    </row>
    <row r="87" spans="1:6" x14ac:dyDescent="0.2">
      <c r="A87" s="3" t="s">
        <v>2</v>
      </c>
      <c r="B87" s="3" t="s">
        <v>15</v>
      </c>
      <c r="C87" s="3" t="s">
        <v>69</v>
      </c>
      <c r="D87" s="3" t="s">
        <v>203</v>
      </c>
      <c r="E87" s="3" t="s">
        <v>74</v>
      </c>
      <c r="F87" s="3">
        <v>25.9</v>
      </c>
    </row>
    <row r="88" spans="1:6" x14ac:dyDescent="0.2">
      <c r="A88" s="2" t="s">
        <v>2</v>
      </c>
      <c r="B88" s="2" t="s">
        <v>15</v>
      </c>
      <c r="C88" s="2" t="s">
        <v>69</v>
      </c>
      <c r="D88" s="2" t="s">
        <v>204</v>
      </c>
      <c r="E88" s="2" t="s">
        <v>74</v>
      </c>
      <c r="F88" s="2">
        <v>19.899999999999999</v>
      </c>
    </row>
    <row r="89" spans="1:6" x14ac:dyDescent="0.2">
      <c r="A89" s="3" t="s">
        <v>2</v>
      </c>
      <c r="B89" s="3" t="s">
        <v>15</v>
      </c>
      <c r="C89" s="3" t="s">
        <v>69</v>
      </c>
      <c r="D89" s="3" t="s">
        <v>205</v>
      </c>
      <c r="E89" s="3" t="s">
        <v>74</v>
      </c>
      <c r="F89" s="3">
        <v>12.7</v>
      </c>
    </row>
    <row r="90" spans="1:6" x14ac:dyDescent="0.2">
      <c r="A90" s="2" t="s">
        <v>2</v>
      </c>
      <c r="B90" s="2" t="s">
        <v>15</v>
      </c>
      <c r="C90" s="2" t="s">
        <v>70</v>
      </c>
      <c r="D90" s="2" t="s">
        <v>203</v>
      </c>
      <c r="E90" s="2" t="s">
        <v>74</v>
      </c>
      <c r="F90" s="2">
        <v>26.4</v>
      </c>
    </row>
    <row r="91" spans="1:6" x14ac:dyDescent="0.2">
      <c r="A91" s="3" t="s">
        <v>2</v>
      </c>
      <c r="B91" s="3" t="s">
        <v>15</v>
      </c>
      <c r="C91" s="3" t="s">
        <v>70</v>
      </c>
      <c r="D91" s="3" t="s">
        <v>204</v>
      </c>
      <c r="E91" s="3" t="s">
        <v>74</v>
      </c>
      <c r="F91" s="3">
        <v>19.8</v>
      </c>
    </row>
    <row r="92" spans="1:6" x14ac:dyDescent="0.2">
      <c r="A92" s="2" t="s">
        <v>2</v>
      </c>
      <c r="B92" s="2" t="s">
        <v>15</v>
      </c>
      <c r="C92" s="2" t="s">
        <v>70</v>
      </c>
      <c r="D92" s="2" t="s">
        <v>205</v>
      </c>
      <c r="E92" s="2" t="s">
        <v>74</v>
      </c>
      <c r="F92" s="2">
        <v>12.5</v>
      </c>
    </row>
    <row r="93" spans="1:6" x14ac:dyDescent="0.2">
      <c r="A93" s="3" t="s">
        <v>3</v>
      </c>
      <c r="B93" s="3" t="s">
        <v>15</v>
      </c>
      <c r="C93" s="3" t="s">
        <v>64</v>
      </c>
      <c r="D93" s="3" t="s">
        <v>206</v>
      </c>
      <c r="E93" s="3" t="s">
        <v>74</v>
      </c>
      <c r="F93" s="3">
        <v>28.1</v>
      </c>
    </row>
    <row r="94" spans="1:6" x14ac:dyDescent="0.2">
      <c r="A94" s="2" t="s">
        <v>3</v>
      </c>
      <c r="B94" s="2" t="s">
        <v>15</v>
      </c>
      <c r="C94" s="2" t="s">
        <v>64</v>
      </c>
      <c r="D94" s="2" t="s">
        <v>207</v>
      </c>
      <c r="E94" s="2" t="s">
        <v>74</v>
      </c>
      <c r="F94" s="2">
        <v>21.8</v>
      </c>
    </row>
    <row r="95" spans="1:6" x14ac:dyDescent="0.2">
      <c r="A95" s="3" t="s">
        <v>3</v>
      </c>
      <c r="B95" s="3" t="s">
        <v>15</v>
      </c>
      <c r="C95" s="3" t="s">
        <v>64</v>
      </c>
      <c r="D95" s="3" t="s">
        <v>208</v>
      </c>
      <c r="E95" s="3" t="s">
        <v>194</v>
      </c>
      <c r="F95" s="3">
        <v>15.4</v>
      </c>
    </row>
    <row r="96" spans="1:6" x14ac:dyDescent="0.2">
      <c r="A96" s="2" t="s">
        <v>3</v>
      </c>
      <c r="B96" s="2" t="s">
        <v>15</v>
      </c>
      <c r="C96" s="2" t="s">
        <v>65</v>
      </c>
      <c r="D96" s="2" t="s">
        <v>206</v>
      </c>
      <c r="E96" s="2" t="s">
        <v>74</v>
      </c>
      <c r="F96" s="2">
        <v>27.6</v>
      </c>
    </row>
    <row r="97" spans="1:6" x14ac:dyDescent="0.2">
      <c r="A97" s="3" t="s">
        <v>3</v>
      </c>
      <c r="B97" s="3" t="s">
        <v>15</v>
      </c>
      <c r="C97" s="3" t="s">
        <v>65</v>
      </c>
      <c r="D97" s="3" t="s">
        <v>207</v>
      </c>
      <c r="E97" s="3" t="s">
        <v>74</v>
      </c>
      <c r="F97" s="3">
        <v>21.9</v>
      </c>
    </row>
    <row r="98" spans="1:6" x14ac:dyDescent="0.2">
      <c r="A98" s="2" t="s">
        <v>3</v>
      </c>
      <c r="B98" s="2" t="s">
        <v>15</v>
      </c>
      <c r="C98" s="2" t="s">
        <v>65</v>
      </c>
      <c r="D98" s="2" t="s">
        <v>208</v>
      </c>
      <c r="E98" s="2" t="s">
        <v>194</v>
      </c>
      <c r="F98" s="2">
        <v>14.7</v>
      </c>
    </row>
    <row r="99" spans="1:6" x14ac:dyDescent="0.2">
      <c r="A99" s="3" t="s">
        <v>3</v>
      </c>
      <c r="B99" s="3" t="s">
        <v>15</v>
      </c>
      <c r="C99" s="3" t="s">
        <v>66</v>
      </c>
      <c r="D99" s="3" t="s">
        <v>206</v>
      </c>
      <c r="E99" s="3" t="s">
        <v>74</v>
      </c>
      <c r="F99" s="3">
        <v>27.7</v>
      </c>
    </row>
    <row r="100" spans="1:6" x14ac:dyDescent="0.2">
      <c r="A100" s="2" t="s">
        <v>3</v>
      </c>
      <c r="B100" s="2" t="s">
        <v>15</v>
      </c>
      <c r="C100" s="2" t="s">
        <v>66</v>
      </c>
      <c r="D100" s="2" t="s">
        <v>207</v>
      </c>
      <c r="E100" s="2" t="s">
        <v>74</v>
      </c>
      <c r="F100" s="2">
        <v>22.3</v>
      </c>
    </row>
    <row r="101" spans="1:6" x14ac:dyDescent="0.2">
      <c r="A101" s="3" t="s">
        <v>3</v>
      </c>
      <c r="B101" s="3" t="s">
        <v>15</v>
      </c>
      <c r="C101" s="3" t="s">
        <v>66</v>
      </c>
      <c r="D101" s="3" t="s">
        <v>208</v>
      </c>
      <c r="E101" s="3" t="s">
        <v>194</v>
      </c>
      <c r="F101" s="3">
        <v>15.3</v>
      </c>
    </row>
    <row r="102" spans="1:6" x14ac:dyDescent="0.2">
      <c r="A102" s="2" t="s">
        <v>3</v>
      </c>
      <c r="B102" s="2" t="s">
        <v>15</v>
      </c>
      <c r="C102" s="2" t="s">
        <v>67</v>
      </c>
      <c r="D102" s="2" t="s">
        <v>206</v>
      </c>
      <c r="E102" s="2" t="s">
        <v>74</v>
      </c>
      <c r="F102" s="2">
        <v>28</v>
      </c>
    </row>
    <row r="103" spans="1:6" x14ac:dyDescent="0.2">
      <c r="A103" s="3" t="s">
        <v>3</v>
      </c>
      <c r="B103" s="3" t="s">
        <v>15</v>
      </c>
      <c r="C103" s="3" t="s">
        <v>67</v>
      </c>
      <c r="D103" s="3" t="s">
        <v>207</v>
      </c>
      <c r="E103" s="3" t="s">
        <v>74</v>
      </c>
      <c r="F103" s="3">
        <v>22</v>
      </c>
    </row>
    <row r="104" spans="1:6" x14ac:dyDescent="0.2">
      <c r="A104" s="2" t="s">
        <v>3</v>
      </c>
      <c r="B104" s="2" t="s">
        <v>15</v>
      </c>
      <c r="C104" s="2" t="s">
        <v>67</v>
      </c>
      <c r="D104" s="2" t="s">
        <v>208</v>
      </c>
      <c r="E104" s="2" t="s">
        <v>194</v>
      </c>
      <c r="F104" s="2">
        <v>15</v>
      </c>
    </row>
    <row r="105" spans="1:6" x14ac:dyDescent="0.2">
      <c r="A105" s="3" t="s">
        <v>3</v>
      </c>
      <c r="B105" s="3" t="s">
        <v>15</v>
      </c>
      <c r="C105" s="3" t="s">
        <v>68</v>
      </c>
      <c r="D105" s="3" t="s">
        <v>206</v>
      </c>
      <c r="E105" s="3" t="s">
        <v>74</v>
      </c>
      <c r="F105" s="3">
        <v>27.8</v>
      </c>
    </row>
    <row r="106" spans="1:6" x14ac:dyDescent="0.2">
      <c r="A106" s="2" t="s">
        <v>3</v>
      </c>
      <c r="B106" s="2" t="s">
        <v>15</v>
      </c>
      <c r="C106" s="2" t="s">
        <v>68</v>
      </c>
      <c r="D106" s="2" t="s">
        <v>207</v>
      </c>
      <c r="E106" s="2" t="s">
        <v>74</v>
      </c>
      <c r="F106" s="2">
        <v>21.8</v>
      </c>
    </row>
    <row r="107" spans="1:6" x14ac:dyDescent="0.2">
      <c r="A107" s="3" t="s">
        <v>3</v>
      </c>
      <c r="B107" s="3" t="s">
        <v>15</v>
      </c>
      <c r="C107" s="3" t="s">
        <v>68</v>
      </c>
      <c r="D107" s="3" t="s">
        <v>208</v>
      </c>
      <c r="E107" s="3" t="s">
        <v>194</v>
      </c>
      <c r="F107" s="3">
        <v>14.5</v>
      </c>
    </row>
    <row r="108" spans="1:6" x14ac:dyDescent="0.2">
      <c r="A108" s="2" t="s">
        <v>3</v>
      </c>
      <c r="B108" s="2" t="s">
        <v>15</v>
      </c>
      <c r="C108" s="2" t="s">
        <v>69</v>
      </c>
      <c r="D108" s="2" t="s">
        <v>206</v>
      </c>
      <c r="E108" s="2" t="s">
        <v>74</v>
      </c>
      <c r="F108" s="2">
        <v>27.8</v>
      </c>
    </row>
    <row r="109" spans="1:6" x14ac:dyDescent="0.2">
      <c r="A109" s="3" t="s">
        <v>3</v>
      </c>
      <c r="B109" s="3" t="s">
        <v>15</v>
      </c>
      <c r="C109" s="3" t="s">
        <v>69</v>
      </c>
      <c r="D109" s="3" t="s">
        <v>207</v>
      </c>
      <c r="E109" s="3" t="s">
        <v>74</v>
      </c>
      <c r="F109" s="3">
        <v>22</v>
      </c>
    </row>
    <row r="110" spans="1:6" x14ac:dyDescent="0.2">
      <c r="A110" s="2" t="s">
        <v>3</v>
      </c>
      <c r="B110" s="2" t="s">
        <v>15</v>
      </c>
      <c r="C110" s="2" t="s">
        <v>69</v>
      </c>
      <c r="D110" s="2" t="s">
        <v>208</v>
      </c>
      <c r="E110" s="2" t="s">
        <v>194</v>
      </c>
      <c r="F110" s="2">
        <v>15.1</v>
      </c>
    </row>
    <row r="111" spans="1:6" x14ac:dyDescent="0.2">
      <c r="A111" s="3" t="s">
        <v>3</v>
      </c>
      <c r="B111" s="3" t="s">
        <v>15</v>
      </c>
      <c r="C111" s="3" t="s">
        <v>70</v>
      </c>
      <c r="D111" s="3" t="s">
        <v>206</v>
      </c>
      <c r="E111" s="3" t="s">
        <v>74</v>
      </c>
      <c r="F111" s="3">
        <v>28.5</v>
      </c>
    </row>
    <row r="112" spans="1:6" x14ac:dyDescent="0.2">
      <c r="A112" s="2" t="s">
        <v>3</v>
      </c>
      <c r="B112" s="2" t="s">
        <v>15</v>
      </c>
      <c r="C112" s="2" t="s">
        <v>70</v>
      </c>
      <c r="D112" s="2" t="s">
        <v>207</v>
      </c>
      <c r="E112" s="2" t="s">
        <v>74</v>
      </c>
      <c r="F112" s="2">
        <v>21.7</v>
      </c>
    </row>
    <row r="113" spans="1:6" x14ac:dyDescent="0.2">
      <c r="A113" s="3" t="s">
        <v>3</v>
      </c>
      <c r="B113" s="3" t="s">
        <v>15</v>
      </c>
      <c r="C113" s="3" t="s">
        <v>70</v>
      </c>
      <c r="D113" s="3" t="s">
        <v>208</v>
      </c>
      <c r="E113" s="3" t="s">
        <v>194</v>
      </c>
      <c r="F113" s="3">
        <v>14.8</v>
      </c>
    </row>
    <row r="114" spans="1:6" x14ac:dyDescent="0.2">
      <c r="A114" s="2" t="s">
        <v>4</v>
      </c>
      <c r="B114" s="2" t="s">
        <v>15</v>
      </c>
      <c r="C114" s="2" t="s">
        <v>64</v>
      </c>
      <c r="D114" s="2" t="s">
        <v>209</v>
      </c>
      <c r="E114" s="2" t="s">
        <v>74</v>
      </c>
      <c r="F114" s="2">
        <v>24.6</v>
      </c>
    </row>
    <row r="115" spans="1:6" x14ac:dyDescent="0.2">
      <c r="A115" s="3" t="s">
        <v>4</v>
      </c>
      <c r="B115" s="3" t="s">
        <v>15</v>
      </c>
      <c r="C115" s="3" t="s">
        <v>64</v>
      </c>
      <c r="D115" s="3" t="s">
        <v>210</v>
      </c>
      <c r="E115" s="3" t="s">
        <v>74</v>
      </c>
      <c r="F115" s="3">
        <v>20.100000000000001</v>
      </c>
    </row>
    <row r="116" spans="1:6" x14ac:dyDescent="0.2">
      <c r="A116" s="2" t="s">
        <v>4</v>
      </c>
      <c r="B116" s="2" t="s">
        <v>15</v>
      </c>
      <c r="C116" s="2" t="s">
        <v>64</v>
      </c>
      <c r="D116" s="2" t="s">
        <v>211</v>
      </c>
      <c r="E116" s="2" t="s">
        <v>74</v>
      </c>
      <c r="F116" s="2">
        <v>16.899999999999999</v>
      </c>
    </row>
    <row r="117" spans="1:6" x14ac:dyDescent="0.2">
      <c r="A117" s="3" t="s">
        <v>4</v>
      </c>
      <c r="B117" s="3" t="s">
        <v>15</v>
      </c>
      <c r="C117" s="3" t="s">
        <v>65</v>
      </c>
      <c r="D117" s="3" t="s">
        <v>209</v>
      </c>
      <c r="E117" s="3" t="s">
        <v>74</v>
      </c>
      <c r="F117" s="3">
        <v>24.7</v>
      </c>
    </row>
    <row r="118" spans="1:6" x14ac:dyDescent="0.2">
      <c r="A118" s="2" t="s">
        <v>4</v>
      </c>
      <c r="B118" s="2" t="s">
        <v>15</v>
      </c>
      <c r="C118" s="2" t="s">
        <v>65</v>
      </c>
      <c r="D118" s="2" t="s">
        <v>210</v>
      </c>
      <c r="E118" s="2" t="s">
        <v>74</v>
      </c>
      <c r="F118" s="2">
        <v>19.8</v>
      </c>
    </row>
    <row r="119" spans="1:6" x14ac:dyDescent="0.2">
      <c r="A119" s="3" t="s">
        <v>4</v>
      </c>
      <c r="B119" s="3" t="s">
        <v>15</v>
      </c>
      <c r="C119" s="3" t="s">
        <v>65</v>
      </c>
      <c r="D119" s="3" t="s">
        <v>211</v>
      </c>
      <c r="E119" s="3" t="s">
        <v>74</v>
      </c>
      <c r="F119" s="3">
        <v>17.2</v>
      </c>
    </row>
    <row r="120" spans="1:6" x14ac:dyDescent="0.2">
      <c r="A120" s="2" t="s">
        <v>4</v>
      </c>
      <c r="B120" s="2" t="s">
        <v>15</v>
      </c>
      <c r="C120" s="2" t="s">
        <v>66</v>
      </c>
      <c r="D120" s="2" t="s">
        <v>209</v>
      </c>
      <c r="E120" s="2" t="s">
        <v>74</v>
      </c>
      <c r="F120" s="2">
        <v>24.5</v>
      </c>
    </row>
    <row r="121" spans="1:6" x14ac:dyDescent="0.2">
      <c r="A121" s="3" t="s">
        <v>4</v>
      </c>
      <c r="B121" s="3" t="s">
        <v>15</v>
      </c>
      <c r="C121" s="3" t="s">
        <v>66</v>
      </c>
      <c r="D121" s="3" t="s">
        <v>210</v>
      </c>
      <c r="E121" s="3" t="s">
        <v>74</v>
      </c>
      <c r="F121" s="3">
        <v>19.899999999999999</v>
      </c>
    </row>
    <row r="122" spans="1:6" x14ac:dyDescent="0.2">
      <c r="A122" s="2" t="s">
        <v>4</v>
      </c>
      <c r="B122" s="2" t="s">
        <v>15</v>
      </c>
      <c r="C122" s="2" t="s">
        <v>66</v>
      </c>
      <c r="D122" s="2" t="s">
        <v>211</v>
      </c>
      <c r="E122" s="2" t="s">
        <v>74</v>
      </c>
      <c r="F122" s="2">
        <v>17.100000000000001</v>
      </c>
    </row>
    <row r="123" spans="1:6" x14ac:dyDescent="0.2">
      <c r="A123" s="3" t="s">
        <v>4</v>
      </c>
      <c r="B123" s="3" t="s">
        <v>15</v>
      </c>
      <c r="C123" s="3" t="s">
        <v>67</v>
      </c>
      <c r="D123" s="3" t="s">
        <v>209</v>
      </c>
      <c r="E123" s="3" t="s">
        <v>74</v>
      </c>
      <c r="F123" s="3">
        <v>25.4</v>
      </c>
    </row>
    <row r="124" spans="1:6" x14ac:dyDescent="0.2">
      <c r="A124" s="2" t="s">
        <v>4</v>
      </c>
      <c r="B124" s="2" t="s">
        <v>15</v>
      </c>
      <c r="C124" s="2" t="s">
        <v>67</v>
      </c>
      <c r="D124" s="2" t="s">
        <v>210</v>
      </c>
      <c r="E124" s="2" t="s">
        <v>74</v>
      </c>
      <c r="F124" s="2">
        <v>20</v>
      </c>
    </row>
    <row r="125" spans="1:6" x14ac:dyDescent="0.2">
      <c r="A125" s="3" t="s">
        <v>4</v>
      </c>
      <c r="B125" s="3" t="s">
        <v>15</v>
      </c>
      <c r="C125" s="3" t="s">
        <v>67</v>
      </c>
      <c r="D125" s="3" t="s">
        <v>211</v>
      </c>
      <c r="E125" s="3" t="s">
        <v>74</v>
      </c>
      <c r="F125" s="3">
        <v>17</v>
      </c>
    </row>
    <row r="126" spans="1:6" x14ac:dyDescent="0.2">
      <c r="A126" s="2" t="s">
        <v>4</v>
      </c>
      <c r="B126" s="2" t="s">
        <v>15</v>
      </c>
      <c r="C126" s="2" t="s">
        <v>68</v>
      </c>
      <c r="D126" s="2" t="s">
        <v>209</v>
      </c>
      <c r="E126" s="2" t="s">
        <v>74</v>
      </c>
      <c r="F126" s="2">
        <v>24.6</v>
      </c>
    </row>
    <row r="127" spans="1:6" x14ac:dyDescent="0.2">
      <c r="A127" s="3" t="s">
        <v>4</v>
      </c>
      <c r="B127" s="3" t="s">
        <v>15</v>
      </c>
      <c r="C127" s="3" t="s">
        <v>68</v>
      </c>
      <c r="D127" s="3" t="s">
        <v>210</v>
      </c>
      <c r="E127" s="3" t="s">
        <v>74</v>
      </c>
      <c r="F127" s="3">
        <v>19.7</v>
      </c>
    </row>
    <row r="128" spans="1:6" x14ac:dyDescent="0.2">
      <c r="A128" s="2" t="s">
        <v>4</v>
      </c>
      <c r="B128" s="2" t="s">
        <v>15</v>
      </c>
      <c r="C128" s="2" t="s">
        <v>68</v>
      </c>
      <c r="D128" s="2" t="s">
        <v>211</v>
      </c>
      <c r="E128" s="2" t="s">
        <v>74</v>
      </c>
      <c r="F128" s="2">
        <v>17</v>
      </c>
    </row>
    <row r="129" spans="1:6" x14ac:dyDescent="0.2">
      <c r="A129" s="3" t="s">
        <v>4</v>
      </c>
      <c r="B129" s="3" t="s">
        <v>15</v>
      </c>
      <c r="C129" s="3" t="s">
        <v>69</v>
      </c>
      <c r="D129" s="3" t="s">
        <v>209</v>
      </c>
      <c r="E129" s="3" t="s">
        <v>74</v>
      </c>
      <c r="F129" s="3">
        <v>25.4</v>
      </c>
    </row>
    <row r="130" spans="1:6" x14ac:dyDescent="0.2">
      <c r="A130" s="2" t="s">
        <v>4</v>
      </c>
      <c r="B130" s="2" t="s">
        <v>15</v>
      </c>
      <c r="C130" s="2" t="s">
        <v>69</v>
      </c>
      <c r="D130" s="2" t="s">
        <v>210</v>
      </c>
      <c r="E130" s="2" t="s">
        <v>74</v>
      </c>
      <c r="F130" s="2">
        <v>20.3</v>
      </c>
    </row>
    <row r="131" spans="1:6" x14ac:dyDescent="0.2">
      <c r="A131" s="3" t="s">
        <v>4</v>
      </c>
      <c r="B131" s="3" t="s">
        <v>15</v>
      </c>
      <c r="C131" s="3" t="s">
        <v>69</v>
      </c>
      <c r="D131" s="3" t="s">
        <v>211</v>
      </c>
      <c r="E131" s="3" t="s">
        <v>74</v>
      </c>
      <c r="F131" s="3">
        <v>17.2</v>
      </c>
    </row>
    <row r="132" spans="1:6" x14ac:dyDescent="0.2">
      <c r="A132" s="2" t="s">
        <v>4</v>
      </c>
      <c r="B132" s="2" t="s">
        <v>15</v>
      </c>
      <c r="C132" s="2" t="s">
        <v>70</v>
      </c>
      <c r="D132" s="2" t="s">
        <v>209</v>
      </c>
      <c r="E132" s="2" t="s">
        <v>74</v>
      </c>
      <c r="F132" s="2">
        <v>24.6</v>
      </c>
    </row>
    <row r="133" spans="1:6" x14ac:dyDescent="0.2">
      <c r="A133" s="3" t="s">
        <v>4</v>
      </c>
      <c r="B133" s="3" t="s">
        <v>15</v>
      </c>
      <c r="C133" s="3" t="s">
        <v>70</v>
      </c>
      <c r="D133" s="3" t="s">
        <v>210</v>
      </c>
      <c r="E133" s="3" t="s">
        <v>74</v>
      </c>
      <c r="F133" s="3">
        <v>20.100000000000001</v>
      </c>
    </row>
    <row r="134" spans="1:6" x14ac:dyDescent="0.2">
      <c r="A134" s="2" t="s">
        <v>4</v>
      </c>
      <c r="B134" s="2" t="s">
        <v>15</v>
      </c>
      <c r="C134" s="2" t="s">
        <v>70</v>
      </c>
      <c r="D134" s="2" t="s">
        <v>211</v>
      </c>
      <c r="E134" s="2" t="s">
        <v>74</v>
      </c>
      <c r="F134" s="2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REF_category_brands</vt:lpstr>
      <vt:lpstr>REF_dimensions</vt:lpstr>
      <vt:lpstr>REF_submetrics</vt:lpstr>
      <vt:lpstr>ICONIC_scores</vt:lpstr>
      <vt:lpstr>ICONIC_dimension_scores</vt:lpstr>
      <vt:lpstr>ICONIC_sub_metric_scores</vt:lpstr>
      <vt:lpstr>ICONIC_alerts</vt:lpstr>
      <vt:lpstr>ICONIC_news_feed</vt:lpstr>
      <vt:lpstr>ICONIC_social_feed</vt:lpstr>
      <vt:lpstr>I1_domain_sources</vt:lpstr>
      <vt:lpstr>I1_value_associations</vt:lpstr>
      <vt:lpstr>I1_audience_perception</vt:lpstr>
      <vt:lpstr>C1_attention_metrics</vt:lpstr>
      <vt:lpstr>O_sentiment</vt:lpstr>
      <vt:lpstr>O_recommendations</vt:lpstr>
      <vt:lpstr>N_alignment</vt:lpstr>
      <vt:lpstr>N_alignment_overall</vt:lpstr>
      <vt:lpstr>I2_attribute_scores</vt:lpstr>
      <vt:lpstr>C2_worth_it_share</vt:lpstr>
      <vt:lpstr>C2_value_drivers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Emerson Ng</cp:lastModifiedBy>
  <dcterms:created xsi:type="dcterms:W3CDTF">2026-03-16T08:35:48Z</dcterms:created>
  <dcterms:modified xsi:type="dcterms:W3CDTF">2026-03-17T07:29:42Z</dcterms:modified>
</cp:coreProperties>
</file>